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pivotTables/pivotTable1.xml" ContentType="application/vnd.openxmlformats-officedocument.spreadsheetml.pivotTable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pivotCache/pivotCacheDefinition1.xml" ContentType="application/vnd.openxmlformats-officedocument.spreadsheetml.pivotCacheDefinition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pivotCache/pivotCacheRecords1.xml" ContentType="application/vnd.openxmlformats-officedocument.spreadsheetml.pivotCacheRecord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/>
  <workbookPr/>
  <bookViews>
    <workbookView xWindow="360" yWindow="270" windowWidth="14940" windowHeight="9150" firstSheet="1" activeTab="2"/>
  </bookViews>
  <sheets>
    <sheet name="Data" sheetId="1" state="hidden" r:id="rId1"/>
    <sheet name="Report" sheetId="2" r:id="rId2"/>
    <sheet name="Summary" sheetId="3" r:id="rId3"/>
  </sheets>
  <definedNames>
    <definedName name="AllData">Report!$A$8:$AC$425</definedName>
  </definedNames>
  <calcPr calcId="125725"/>
  <pivotCaches>
    <pivotCache cacheId="222" r:id="rId4"/>
  </pivotCaches>
</workbook>
</file>

<file path=xl/calcChain.xml><?xml version="1.0" encoding="utf-8"?>
<calcChain xmlns="http://schemas.openxmlformats.org/spreadsheetml/2006/main">
  <c r="F1" i="2"/>
  <c r="B4"/>
  <c r="B5"/>
  <c r="B6"/>
  <c r="A9"/>
  <c r="B9"/>
  <c r="C9"/>
  <c r="E9"/>
  <c r="D9" s="1"/>
  <c r="F9"/>
  <c r="G9"/>
  <c r="H9"/>
  <c r="I9"/>
  <c r="J9"/>
  <c r="K9"/>
  <c r="L9"/>
  <c r="M9"/>
  <c r="N9"/>
  <c r="O9"/>
  <c r="P9"/>
  <c r="Q9"/>
  <c r="R9"/>
  <c r="S9"/>
  <c r="T9"/>
  <c r="U9"/>
  <c r="V9"/>
  <c r="W9"/>
  <c r="X9"/>
  <c r="Y9"/>
  <c r="Z9"/>
  <c r="AA9"/>
  <c r="AB9"/>
  <c r="AC9"/>
  <c r="A10"/>
  <c r="B10"/>
  <c r="C10"/>
  <c r="E10"/>
  <c r="D10" s="1"/>
  <c r="F10"/>
  <c r="G10"/>
  <c r="H10"/>
  <c r="I10"/>
  <c r="J10"/>
  <c r="K10"/>
  <c r="L10"/>
  <c r="M10"/>
  <c r="N10"/>
  <c r="O10"/>
  <c r="P10"/>
  <c r="Q10"/>
  <c r="R10"/>
  <c r="S10"/>
  <c r="T10"/>
  <c r="U10"/>
  <c r="V10"/>
  <c r="W10"/>
  <c r="X10"/>
  <c r="Y10"/>
  <c r="Z10"/>
  <c r="AA10"/>
  <c r="AB10"/>
  <c r="AC10"/>
  <c r="A11"/>
  <c r="B11"/>
  <c r="C11"/>
  <c r="E11"/>
  <c r="D11" s="1"/>
  <c r="F11"/>
  <c r="G11"/>
  <c r="H11"/>
  <c r="I11"/>
  <c r="J11"/>
  <c r="K11"/>
  <c r="L11"/>
  <c r="M11"/>
  <c r="N11"/>
  <c r="O11"/>
  <c r="P11"/>
  <c r="Q11"/>
  <c r="R11"/>
  <c r="S11"/>
  <c r="T11"/>
  <c r="U11"/>
  <c r="V11"/>
  <c r="W11"/>
  <c r="X11"/>
  <c r="Y11"/>
  <c r="Z11"/>
  <c r="AA11"/>
  <c r="AB11"/>
  <c r="AC11"/>
  <c r="A12"/>
  <c r="B12"/>
  <c r="C12"/>
  <c r="D12"/>
  <c r="E12"/>
  <c r="F12"/>
  <c r="G12"/>
  <c r="H12"/>
  <c r="I12"/>
  <c r="J12"/>
  <c r="K12"/>
  <c r="L12"/>
  <c r="M12"/>
  <c r="N12"/>
  <c r="O12"/>
  <c r="P12"/>
  <c r="Q12"/>
  <c r="R12"/>
  <c r="S12"/>
  <c r="T12"/>
  <c r="U12"/>
  <c r="V12"/>
  <c r="W12"/>
  <c r="X12"/>
  <c r="Y12"/>
  <c r="Z12"/>
  <c r="AA12"/>
  <c r="AB12"/>
  <c r="AC12"/>
  <c r="A13"/>
  <c r="B13"/>
  <c r="C13"/>
  <c r="E13"/>
  <c r="D13" s="1"/>
  <c r="F13"/>
  <c r="G13"/>
  <c r="H13"/>
  <c r="I13"/>
  <c r="J13"/>
  <c r="K13"/>
  <c r="L13"/>
  <c r="M13"/>
  <c r="N13"/>
  <c r="O13"/>
  <c r="P13"/>
  <c r="Q13"/>
  <c r="R13"/>
  <c r="S13"/>
  <c r="T13"/>
  <c r="U13"/>
  <c r="V13"/>
  <c r="W13"/>
  <c r="X13"/>
  <c r="Y13"/>
  <c r="Z13"/>
  <c r="AA13"/>
  <c r="AB13"/>
  <c r="AC13"/>
  <c r="A14"/>
  <c r="B14"/>
  <c r="C14"/>
  <c r="E14"/>
  <c r="D14" s="1"/>
  <c r="F14"/>
  <c r="G14"/>
  <c r="H14"/>
  <c r="I14"/>
  <c r="J14"/>
  <c r="K14"/>
  <c r="L14"/>
  <c r="M14"/>
  <c r="N14"/>
  <c r="O14"/>
  <c r="P14"/>
  <c r="Q14"/>
  <c r="R14"/>
  <c r="S14"/>
  <c r="T14"/>
  <c r="U14"/>
  <c r="V14"/>
  <c r="W14"/>
  <c r="X14"/>
  <c r="Y14"/>
  <c r="Z14"/>
  <c r="AA14"/>
  <c r="AB14"/>
  <c r="AC14"/>
  <c r="A15"/>
  <c r="B15"/>
  <c r="C15"/>
  <c r="D15"/>
  <c r="E15"/>
  <c r="F15"/>
  <c r="G15"/>
  <c r="H15"/>
  <c r="I15"/>
  <c r="J15"/>
  <c r="K15"/>
  <c r="L15"/>
  <c r="M15"/>
  <c r="N15"/>
  <c r="O15"/>
  <c r="P15"/>
  <c r="Q15"/>
  <c r="R15"/>
  <c r="S15"/>
  <c r="T15"/>
  <c r="U15"/>
  <c r="V15"/>
  <c r="W15"/>
  <c r="X15"/>
  <c r="Y15"/>
  <c r="Z15"/>
  <c r="AA15"/>
  <c r="AB15"/>
  <c r="AC15"/>
  <c r="A16"/>
  <c r="B16"/>
  <c r="C16"/>
  <c r="E16"/>
  <c r="D16" s="1"/>
  <c r="F16"/>
  <c r="G16"/>
  <c r="H16"/>
  <c r="I16"/>
  <c r="J16"/>
  <c r="K16"/>
  <c r="L16"/>
  <c r="M16"/>
  <c r="N16"/>
  <c r="O16"/>
  <c r="P16"/>
  <c r="Q16"/>
  <c r="R16"/>
  <c r="S16"/>
  <c r="T16"/>
  <c r="U16"/>
  <c r="V16"/>
  <c r="W16"/>
  <c r="X16"/>
  <c r="Y16"/>
  <c r="Z16"/>
  <c r="AA16"/>
  <c r="AB16"/>
  <c r="AC16"/>
  <c r="A17"/>
  <c r="B17"/>
  <c r="C17"/>
  <c r="E17"/>
  <c r="D17" s="1"/>
  <c r="F17"/>
  <c r="G17"/>
  <c r="H17"/>
  <c r="I17"/>
  <c r="J17"/>
  <c r="K17"/>
  <c r="L17"/>
  <c r="M17"/>
  <c r="N17"/>
  <c r="O17"/>
  <c r="P17"/>
  <c r="Q17"/>
  <c r="R17"/>
  <c r="S17"/>
  <c r="T17"/>
  <c r="U17"/>
  <c r="V17"/>
  <c r="W17"/>
  <c r="X17"/>
  <c r="Y17"/>
  <c r="Z17"/>
  <c r="AA17"/>
  <c r="AB17"/>
  <c r="AC17"/>
  <c r="A18"/>
  <c r="B18"/>
  <c r="C18"/>
  <c r="E18"/>
  <c r="D18" s="1"/>
  <c r="F18"/>
  <c r="G18"/>
  <c r="H18"/>
  <c r="I18"/>
  <c r="J18"/>
  <c r="K18"/>
  <c r="L18"/>
  <c r="M18"/>
  <c r="N18"/>
  <c r="O18"/>
  <c r="P18"/>
  <c r="Q18"/>
  <c r="R18"/>
  <c r="S18"/>
  <c r="T18"/>
  <c r="U18"/>
  <c r="V18"/>
  <c r="W18"/>
  <c r="X18"/>
  <c r="Y18"/>
  <c r="Z18"/>
  <c r="AA18"/>
  <c r="AB18"/>
  <c r="AC18"/>
  <c r="A19"/>
  <c r="B19"/>
  <c r="C19"/>
  <c r="E19"/>
  <c r="D19" s="1"/>
  <c r="F19"/>
  <c r="G19"/>
  <c r="H19"/>
  <c r="I19"/>
  <c r="J19"/>
  <c r="K19"/>
  <c r="L19"/>
  <c r="M19"/>
  <c r="N19"/>
  <c r="O19"/>
  <c r="P19"/>
  <c r="Q19"/>
  <c r="R19"/>
  <c r="S19"/>
  <c r="T19"/>
  <c r="U19"/>
  <c r="V19"/>
  <c r="W19"/>
  <c r="X19"/>
  <c r="Y19"/>
  <c r="Z19"/>
  <c r="AA19"/>
  <c r="AB19"/>
  <c r="AC19"/>
  <c r="A20"/>
  <c r="B20"/>
  <c r="C20"/>
  <c r="E20"/>
  <c r="D20" s="1"/>
  <c r="F20"/>
  <c r="G20"/>
  <c r="H20"/>
  <c r="I20"/>
  <c r="J20"/>
  <c r="K20"/>
  <c r="L20"/>
  <c r="M20"/>
  <c r="N20"/>
  <c r="O20"/>
  <c r="P20"/>
  <c r="Q20"/>
  <c r="R20"/>
  <c r="S20"/>
  <c r="T20"/>
  <c r="U20"/>
  <c r="V20"/>
  <c r="W20"/>
  <c r="X20"/>
  <c r="Y20"/>
  <c r="Z20"/>
  <c r="AA20"/>
  <c r="AB20"/>
  <c r="AC20"/>
  <c r="A21"/>
  <c r="B21"/>
  <c r="C21"/>
  <c r="E21"/>
  <c r="D21" s="1"/>
  <c r="F21"/>
  <c r="G21"/>
  <c r="H21"/>
  <c r="I21"/>
  <c r="J21"/>
  <c r="K21"/>
  <c r="L21"/>
  <c r="M21"/>
  <c r="N21"/>
  <c r="O21"/>
  <c r="P21"/>
  <c r="Q21"/>
  <c r="R21"/>
  <c r="S21"/>
  <c r="T21"/>
  <c r="U21"/>
  <c r="V21"/>
  <c r="W21"/>
  <c r="X21"/>
  <c r="Y21"/>
  <c r="Z21"/>
  <c r="AA21"/>
  <c r="AB21"/>
  <c r="AC21"/>
  <c r="A22"/>
  <c r="B22"/>
  <c r="C22"/>
  <c r="E22"/>
  <c r="D22" s="1"/>
  <c r="F22"/>
  <c r="G22"/>
  <c r="H22"/>
  <c r="I22"/>
  <c r="J22"/>
  <c r="K22"/>
  <c r="L22"/>
  <c r="M22"/>
  <c r="N22"/>
  <c r="O22"/>
  <c r="P22"/>
  <c r="Q22"/>
  <c r="R22"/>
  <c r="S22"/>
  <c r="T22"/>
  <c r="U22"/>
  <c r="V22"/>
  <c r="W22"/>
  <c r="X22"/>
  <c r="Y22"/>
  <c r="Z22"/>
  <c r="AA22"/>
  <c r="AB22"/>
  <c r="AC22"/>
  <c r="A23"/>
  <c r="B23"/>
  <c r="C23"/>
  <c r="E23"/>
  <c r="D23" s="1"/>
  <c r="F23"/>
  <c r="G23"/>
  <c r="H23"/>
  <c r="I23"/>
  <c r="J23"/>
  <c r="K23"/>
  <c r="L23"/>
  <c r="M23"/>
  <c r="N23"/>
  <c r="O23"/>
  <c r="P23"/>
  <c r="Q23"/>
  <c r="R23"/>
  <c r="S23"/>
  <c r="T23"/>
  <c r="U23"/>
  <c r="V23"/>
  <c r="W23"/>
  <c r="X23"/>
  <c r="Y23"/>
  <c r="Z23"/>
  <c r="AA23"/>
  <c r="AB23"/>
  <c r="AC23"/>
  <c r="A24"/>
  <c r="B24"/>
  <c r="C24"/>
  <c r="D24"/>
  <c r="E24"/>
  <c r="F24"/>
  <c r="G24"/>
  <c r="H24"/>
  <c r="I24"/>
  <c r="J24"/>
  <c r="K24"/>
  <c r="L24"/>
  <c r="M24"/>
  <c r="N24"/>
  <c r="O24"/>
  <c r="P24"/>
  <c r="Q24"/>
  <c r="R24"/>
  <c r="S24"/>
  <c r="T24"/>
  <c r="U24"/>
  <c r="V24"/>
  <c r="W24"/>
  <c r="X24"/>
  <c r="Y24"/>
  <c r="Z24"/>
  <c r="AA24"/>
  <c r="AB24"/>
  <c r="AC24"/>
  <c r="A25"/>
  <c r="B25"/>
  <c r="C25"/>
  <c r="E25"/>
  <c r="D25" s="1"/>
  <c r="F25"/>
  <c r="G25"/>
  <c r="H25"/>
  <c r="I25"/>
  <c r="J25"/>
  <c r="K25"/>
  <c r="L25"/>
  <c r="M25"/>
  <c r="N25"/>
  <c r="O25"/>
  <c r="P25"/>
  <c r="Q25"/>
  <c r="R25"/>
  <c r="S25"/>
  <c r="T25"/>
  <c r="U25"/>
  <c r="V25"/>
  <c r="W25"/>
  <c r="X25"/>
  <c r="Y25"/>
  <c r="Z25"/>
  <c r="AA25"/>
  <c r="AB25"/>
  <c r="AC25"/>
  <c r="A26"/>
  <c r="B26"/>
  <c r="C26"/>
  <c r="E26"/>
  <c r="D26" s="1"/>
  <c r="F26"/>
  <c r="G26"/>
  <c r="H26"/>
  <c r="I26"/>
  <c r="J26"/>
  <c r="K26"/>
  <c r="L26"/>
  <c r="M26"/>
  <c r="N26"/>
  <c r="O26"/>
  <c r="P26"/>
  <c r="Q26"/>
  <c r="R26"/>
  <c r="S26"/>
  <c r="T26"/>
  <c r="U26"/>
  <c r="V26"/>
  <c r="W26"/>
  <c r="X26"/>
  <c r="Y26"/>
  <c r="Z26"/>
  <c r="AA26"/>
  <c r="AB26"/>
  <c r="AC26"/>
  <c r="A27"/>
  <c r="B27"/>
  <c r="C27"/>
  <c r="D27"/>
  <c r="E27"/>
  <c r="F27"/>
  <c r="G27"/>
  <c r="H27"/>
  <c r="I27"/>
  <c r="J27"/>
  <c r="K27"/>
  <c r="L27"/>
  <c r="M27"/>
  <c r="N27"/>
  <c r="O27"/>
  <c r="P27"/>
  <c r="Q27"/>
  <c r="R27"/>
  <c r="S27"/>
  <c r="T27"/>
  <c r="U27"/>
  <c r="V27"/>
  <c r="W27"/>
  <c r="X27"/>
  <c r="Y27"/>
  <c r="Z27"/>
  <c r="AA27"/>
  <c r="AB27"/>
  <c r="AC27"/>
  <c r="A28"/>
  <c r="B28"/>
  <c r="C28"/>
  <c r="E28"/>
  <c r="D28" s="1"/>
  <c r="F28"/>
  <c r="G28"/>
  <c r="H28"/>
  <c r="I28"/>
  <c r="J28"/>
  <c r="K28"/>
  <c r="L28"/>
  <c r="M28"/>
  <c r="N28"/>
  <c r="O28"/>
  <c r="P28"/>
  <c r="Q28"/>
  <c r="R28"/>
  <c r="S28"/>
  <c r="T28"/>
  <c r="U28"/>
  <c r="V28"/>
  <c r="W28"/>
  <c r="X28"/>
  <c r="Y28"/>
  <c r="Z28"/>
  <c r="AA28"/>
  <c r="AB28"/>
  <c r="AC28"/>
  <c r="A29"/>
  <c r="B29"/>
  <c r="C29"/>
  <c r="E29"/>
  <c r="D29" s="1"/>
  <c r="F29"/>
  <c r="G29"/>
  <c r="H29"/>
  <c r="I29"/>
  <c r="J29"/>
  <c r="K29"/>
  <c r="L29"/>
  <c r="M29"/>
  <c r="N29"/>
  <c r="O29"/>
  <c r="P29"/>
  <c r="Q29"/>
  <c r="R29"/>
  <c r="S29"/>
  <c r="T29"/>
  <c r="U29"/>
  <c r="V29"/>
  <c r="W29"/>
  <c r="X29"/>
  <c r="Y29"/>
  <c r="Z29"/>
  <c r="AA29"/>
  <c r="AB29"/>
  <c r="AC29"/>
  <c r="A30"/>
  <c r="B30"/>
  <c r="C30"/>
  <c r="E30"/>
  <c r="D30" s="1"/>
  <c r="F30"/>
  <c r="G30"/>
  <c r="H30"/>
  <c r="I30"/>
  <c r="J30"/>
  <c r="K30"/>
  <c r="L30"/>
  <c r="M30"/>
  <c r="N30"/>
  <c r="O30"/>
  <c r="P30"/>
  <c r="Q30"/>
  <c r="R30"/>
  <c r="S30"/>
  <c r="T30"/>
  <c r="U30"/>
  <c r="V30"/>
  <c r="W30"/>
  <c r="X30"/>
  <c r="Y30"/>
  <c r="Z30"/>
  <c r="AA30"/>
  <c r="AB30"/>
  <c r="AC30"/>
  <c r="A31"/>
  <c r="B31"/>
  <c r="C31"/>
  <c r="E31"/>
  <c r="D31" s="1"/>
  <c r="F31"/>
  <c r="G31"/>
  <c r="H31"/>
  <c r="I31"/>
  <c r="J31"/>
  <c r="K31"/>
  <c r="L31"/>
  <c r="M31"/>
  <c r="N31"/>
  <c r="O31"/>
  <c r="P31"/>
  <c r="Q31"/>
  <c r="R31"/>
  <c r="S31"/>
  <c r="T31"/>
  <c r="U31"/>
  <c r="V31"/>
  <c r="W31"/>
  <c r="X31"/>
  <c r="Y31"/>
  <c r="Z31"/>
  <c r="AA31"/>
  <c r="AB31"/>
  <c r="AC31"/>
  <c r="A32"/>
  <c r="B32"/>
  <c r="C32"/>
  <c r="E32"/>
  <c r="D32" s="1"/>
  <c r="F32"/>
  <c r="G32"/>
  <c r="H32"/>
  <c r="I32"/>
  <c r="J32"/>
  <c r="K32"/>
  <c r="L32"/>
  <c r="M32"/>
  <c r="N32"/>
  <c r="O32"/>
  <c r="P32"/>
  <c r="Q32"/>
  <c r="R32"/>
  <c r="S32"/>
  <c r="T32"/>
  <c r="U32"/>
  <c r="V32"/>
  <c r="W32"/>
  <c r="X32"/>
  <c r="Y32"/>
  <c r="Z32"/>
  <c r="AA32"/>
  <c r="AB32"/>
  <c r="AC32"/>
  <c r="A33"/>
  <c r="B33"/>
  <c r="C33"/>
  <c r="E33"/>
  <c r="D33" s="1"/>
  <c r="F33"/>
  <c r="G33"/>
  <c r="H33"/>
  <c r="I33"/>
  <c r="J33"/>
  <c r="K33"/>
  <c r="L33"/>
  <c r="M33"/>
  <c r="N33"/>
  <c r="O33"/>
  <c r="P33"/>
  <c r="Q33"/>
  <c r="R33"/>
  <c r="S33"/>
  <c r="T33"/>
  <c r="U33"/>
  <c r="V33"/>
  <c r="W33"/>
  <c r="X33"/>
  <c r="Y33"/>
  <c r="Z33"/>
  <c r="AA33"/>
  <c r="AB33"/>
  <c r="AC33"/>
  <c r="A34"/>
  <c r="B34"/>
  <c r="C34"/>
  <c r="E34"/>
  <c r="D34" s="1"/>
  <c r="F34"/>
  <c r="G34"/>
  <c r="H34"/>
  <c r="I34"/>
  <c r="J34"/>
  <c r="K34"/>
  <c r="L34"/>
  <c r="M34"/>
  <c r="N34"/>
  <c r="O34"/>
  <c r="P34"/>
  <c r="Q34"/>
  <c r="R34"/>
  <c r="S34"/>
  <c r="T34"/>
  <c r="U34"/>
  <c r="V34"/>
  <c r="W34"/>
  <c r="X34"/>
  <c r="Y34"/>
  <c r="Z34"/>
  <c r="AA34"/>
  <c r="AB34"/>
  <c r="AC34"/>
  <c r="A35"/>
  <c r="B35"/>
  <c r="C35"/>
  <c r="D35"/>
  <c r="E35"/>
  <c r="F35"/>
  <c r="G35"/>
  <c r="H35"/>
  <c r="I35"/>
  <c r="J35"/>
  <c r="K35"/>
  <c r="L35"/>
  <c r="M35"/>
  <c r="N35"/>
  <c r="O35"/>
  <c r="P35"/>
  <c r="Q35"/>
  <c r="R35"/>
  <c r="S35"/>
  <c r="T35"/>
  <c r="U35"/>
  <c r="V35"/>
  <c r="W35"/>
  <c r="X35"/>
  <c r="Y35"/>
  <c r="Z35"/>
  <c r="AA35"/>
  <c r="AB35"/>
  <c r="AC35"/>
  <c r="A36"/>
  <c r="B36"/>
  <c r="C36"/>
  <c r="E36"/>
  <c r="D36" s="1"/>
  <c r="F36"/>
  <c r="G36"/>
  <c r="H36"/>
  <c r="I36"/>
  <c r="J36"/>
  <c r="K36"/>
  <c r="L36"/>
  <c r="M36"/>
  <c r="N36"/>
  <c r="O36"/>
  <c r="P36"/>
  <c r="Q36"/>
  <c r="R36"/>
  <c r="S36"/>
  <c r="T36"/>
  <c r="U36"/>
  <c r="V36"/>
  <c r="W36"/>
  <c r="X36"/>
  <c r="Y36"/>
  <c r="Z36"/>
  <c r="AA36"/>
  <c r="AB36"/>
  <c r="AC36"/>
  <c r="A37"/>
  <c r="B37"/>
  <c r="C37"/>
  <c r="E37"/>
  <c r="D37" s="1"/>
  <c r="F37"/>
  <c r="G37"/>
  <c r="H37"/>
  <c r="I37"/>
  <c r="J37"/>
  <c r="K37"/>
  <c r="L37"/>
  <c r="M37"/>
  <c r="N37"/>
  <c r="O37"/>
  <c r="P37"/>
  <c r="Q37"/>
  <c r="R37"/>
  <c r="S37"/>
  <c r="T37"/>
  <c r="U37"/>
  <c r="V37"/>
  <c r="W37"/>
  <c r="X37"/>
  <c r="Y37"/>
  <c r="Z37"/>
  <c r="AA37"/>
  <c r="AB37"/>
  <c r="AC37"/>
  <c r="A38"/>
  <c r="B38"/>
  <c r="C38"/>
  <c r="E38"/>
  <c r="D38" s="1"/>
  <c r="F38"/>
  <c r="G38"/>
  <c r="H38"/>
  <c r="I38"/>
  <c r="J38"/>
  <c r="K38"/>
  <c r="L38"/>
  <c r="M38"/>
  <c r="N38"/>
  <c r="O38"/>
  <c r="P38"/>
  <c r="Q38"/>
  <c r="R38"/>
  <c r="S38"/>
  <c r="T38"/>
  <c r="U38"/>
  <c r="V38"/>
  <c r="W38"/>
  <c r="X38"/>
  <c r="Y38"/>
  <c r="Z38"/>
  <c r="AA38"/>
  <c r="AB38"/>
  <c r="AC38"/>
  <c r="A39"/>
  <c r="B39"/>
  <c r="C39"/>
  <c r="D39"/>
  <c r="E39"/>
  <c r="F39"/>
  <c r="G39"/>
  <c r="H39"/>
  <c r="I39"/>
  <c r="J39"/>
  <c r="K39"/>
  <c r="L39"/>
  <c r="M39"/>
  <c r="N39"/>
  <c r="O39"/>
  <c r="P39"/>
  <c r="Q39"/>
  <c r="R39"/>
  <c r="S39"/>
  <c r="T39"/>
  <c r="U39"/>
  <c r="V39"/>
  <c r="W39"/>
  <c r="X39"/>
  <c r="Y39"/>
  <c r="Z39"/>
  <c r="AA39"/>
  <c r="AB39"/>
  <c r="AC39"/>
  <c r="A40"/>
  <c r="B40"/>
  <c r="C40"/>
  <c r="E40"/>
  <c r="D40" s="1"/>
  <c r="F40"/>
  <c r="G40"/>
  <c r="H40"/>
  <c r="I40"/>
  <c r="J40"/>
  <c r="K40"/>
  <c r="L40"/>
  <c r="M40"/>
  <c r="N40"/>
  <c r="O40"/>
  <c r="P40"/>
  <c r="Q40"/>
  <c r="R40"/>
  <c r="S40"/>
  <c r="T40"/>
  <c r="U40"/>
  <c r="V40"/>
  <c r="W40"/>
  <c r="X40"/>
  <c r="Y40"/>
  <c r="Z40"/>
  <c r="AA40"/>
  <c r="AB40"/>
  <c r="AC40"/>
  <c r="A41"/>
  <c r="B41"/>
  <c r="C41"/>
  <c r="E41"/>
  <c r="D41" s="1"/>
  <c r="F41"/>
  <c r="G41"/>
  <c r="H41"/>
  <c r="I41"/>
  <c r="J41"/>
  <c r="K41"/>
  <c r="L41"/>
  <c r="M41"/>
  <c r="N41"/>
  <c r="O41"/>
  <c r="P41"/>
  <c r="Q41"/>
  <c r="R41"/>
  <c r="S41"/>
  <c r="T41"/>
  <c r="U41"/>
  <c r="V41"/>
  <c r="W41"/>
  <c r="X41"/>
  <c r="Y41"/>
  <c r="Z41"/>
  <c r="AA41"/>
  <c r="AB41"/>
  <c r="AC41"/>
  <c r="A42"/>
  <c r="B42"/>
  <c r="C42"/>
  <c r="E42"/>
  <c r="D42" s="1"/>
  <c r="F42"/>
  <c r="G42"/>
  <c r="H42"/>
  <c r="I42"/>
  <c r="J42"/>
  <c r="K42"/>
  <c r="L42"/>
  <c r="M42"/>
  <c r="N42"/>
  <c r="O42"/>
  <c r="P42"/>
  <c r="Q42"/>
  <c r="R42"/>
  <c r="S42"/>
  <c r="T42"/>
  <c r="U42"/>
  <c r="V42"/>
  <c r="W42"/>
  <c r="X42"/>
  <c r="Y42"/>
  <c r="Z42"/>
  <c r="AA42"/>
  <c r="AB42"/>
  <c r="AC42"/>
  <c r="A43"/>
  <c r="B43"/>
  <c r="C43"/>
  <c r="D43"/>
  <c r="E43"/>
  <c r="F43"/>
  <c r="G43"/>
  <c r="H43"/>
  <c r="I43"/>
  <c r="J43"/>
  <c r="K43"/>
  <c r="L43"/>
  <c r="M43"/>
  <c r="N43"/>
  <c r="O43"/>
  <c r="P43"/>
  <c r="Q43"/>
  <c r="R43"/>
  <c r="S43"/>
  <c r="T43"/>
  <c r="U43"/>
  <c r="V43"/>
  <c r="W43"/>
  <c r="X43"/>
  <c r="Y43"/>
  <c r="Z43"/>
  <c r="AA43"/>
  <c r="AB43"/>
  <c r="AC43"/>
  <c r="A44"/>
  <c r="B44"/>
  <c r="C44"/>
  <c r="E44"/>
  <c r="D44" s="1"/>
  <c r="F44"/>
  <c r="G44"/>
  <c r="H44"/>
  <c r="I44"/>
  <c r="J44"/>
  <c r="K44"/>
  <c r="L44"/>
  <c r="M44"/>
  <c r="N44"/>
  <c r="O44"/>
  <c r="P44"/>
  <c r="Q44"/>
  <c r="R44"/>
  <c r="S44"/>
  <c r="T44"/>
  <c r="U44"/>
  <c r="V44"/>
  <c r="W44"/>
  <c r="X44"/>
  <c r="Y44"/>
  <c r="Z44"/>
  <c r="AA44"/>
  <c r="AB44"/>
  <c r="AC44"/>
  <c r="A45"/>
  <c r="B45"/>
  <c r="C45"/>
  <c r="E45"/>
  <c r="D45" s="1"/>
  <c r="F45"/>
  <c r="G45"/>
  <c r="H45"/>
  <c r="I45"/>
  <c r="J45"/>
  <c r="K45"/>
  <c r="L45"/>
  <c r="M45"/>
  <c r="N45"/>
  <c r="O45"/>
  <c r="P45"/>
  <c r="Q45"/>
  <c r="R45"/>
  <c r="S45"/>
  <c r="T45"/>
  <c r="U45"/>
  <c r="V45"/>
  <c r="W45"/>
  <c r="X45"/>
  <c r="Y45"/>
  <c r="Z45"/>
  <c r="AA45"/>
  <c r="AB45"/>
  <c r="AC45"/>
  <c r="A46"/>
  <c r="B46"/>
  <c r="C46"/>
  <c r="E46"/>
  <c r="D46" s="1"/>
  <c r="F46"/>
  <c r="G46"/>
  <c r="H46"/>
  <c r="I46"/>
  <c r="J46"/>
  <c r="K46"/>
  <c r="L46"/>
  <c r="M46"/>
  <c r="N46"/>
  <c r="O46"/>
  <c r="P46"/>
  <c r="Q46"/>
  <c r="R46"/>
  <c r="S46"/>
  <c r="T46"/>
  <c r="U46"/>
  <c r="V46"/>
  <c r="W46"/>
  <c r="X46"/>
  <c r="Y46"/>
  <c r="Z46"/>
  <c r="AA46"/>
  <c r="AB46"/>
  <c r="AC46"/>
  <c r="A47"/>
  <c r="B47"/>
  <c r="C47"/>
  <c r="D47"/>
  <c r="E47"/>
  <c r="F47"/>
  <c r="G47"/>
  <c r="H47"/>
  <c r="I47"/>
  <c r="J47"/>
  <c r="K47"/>
  <c r="L47"/>
  <c r="M47"/>
  <c r="N47"/>
  <c r="O47"/>
  <c r="P47"/>
  <c r="Q47"/>
  <c r="R47"/>
  <c r="S47"/>
  <c r="T47"/>
  <c r="U47"/>
  <c r="V47"/>
  <c r="W47"/>
  <c r="X47"/>
  <c r="Y47"/>
  <c r="Z47"/>
  <c r="AA47"/>
  <c r="AB47"/>
  <c r="AC47"/>
  <c r="A48"/>
  <c r="B48"/>
  <c r="C48"/>
  <c r="E48"/>
  <c r="D48" s="1"/>
  <c r="F48"/>
  <c r="G48"/>
  <c r="H48"/>
  <c r="I48"/>
  <c r="J48"/>
  <c r="K48"/>
  <c r="L48"/>
  <c r="M48"/>
  <c r="N48"/>
  <c r="O48"/>
  <c r="P48"/>
  <c r="Q48"/>
  <c r="R48"/>
  <c r="S48"/>
  <c r="T48"/>
  <c r="U48"/>
  <c r="V48"/>
  <c r="W48"/>
  <c r="X48"/>
  <c r="Y48"/>
  <c r="Z48"/>
  <c r="AA48"/>
  <c r="AB48"/>
  <c r="AC48"/>
  <c r="A49"/>
  <c r="B49"/>
  <c r="C49"/>
  <c r="D49"/>
  <c r="E49"/>
  <c r="F49"/>
  <c r="G49"/>
  <c r="H49"/>
  <c r="I49"/>
  <c r="J49"/>
  <c r="K49"/>
  <c r="L49"/>
  <c r="M49"/>
  <c r="N49"/>
  <c r="O49"/>
  <c r="P49"/>
  <c r="Q49"/>
  <c r="R49"/>
  <c r="S49"/>
  <c r="T49"/>
  <c r="U49"/>
  <c r="V49"/>
  <c r="W49"/>
  <c r="X49"/>
  <c r="Y49"/>
  <c r="Z49"/>
  <c r="AA49"/>
  <c r="AB49"/>
  <c r="AC49"/>
  <c r="A50"/>
  <c r="B50"/>
  <c r="C50"/>
  <c r="E50"/>
  <c r="D50" s="1"/>
  <c r="F50"/>
  <c r="G50"/>
  <c r="H50"/>
  <c r="I50"/>
  <c r="J50"/>
  <c r="K50"/>
  <c r="L50"/>
  <c r="M50"/>
  <c r="N50"/>
  <c r="O50"/>
  <c r="P50"/>
  <c r="Q50"/>
  <c r="R50"/>
  <c r="S50"/>
  <c r="T50"/>
  <c r="U50"/>
  <c r="V50"/>
  <c r="W50"/>
  <c r="X50"/>
  <c r="Y50"/>
  <c r="Z50"/>
  <c r="AA50"/>
  <c r="AB50"/>
  <c r="AC50"/>
  <c r="A51"/>
  <c r="B51"/>
  <c r="C51"/>
  <c r="E51"/>
  <c r="D51" s="1"/>
  <c r="F51"/>
  <c r="G51"/>
  <c r="H51"/>
  <c r="I51"/>
  <c r="J51"/>
  <c r="K51"/>
  <c r="L51"/>
  <c r="M51"/>
  <c r="N51"/>
  <c r="O51"/>
  <c r="P51"/>
  <c r="Q51"/>
  <c r="R51"/>
  <c r="S51"/>
  <c r="T51"/>
  <c r="U51"/>
  <c r="V51"/>
  <c r="W51"/>
  <c r="X51"/>
  <c r="Y51"/>
  <c r="Z51"/>
  <c r="AA51"/>
  <c r="AB51"/>
  <c r="AC51"/>
  <c r="A52"/>
  <c r="B52"/>
  <c r="C52"/>
  <c r="E52"/>
  <c r="D52" s="1"/>
  <c r="F52"/>
  <c r="G52"/>
  <c r="H52"/>
  <c r="I52"/>
  <c r="J52"/>
  <c r="K52"/>
  <c r="L52"/>
  <c r="M52"/>
  <c r="N52"/>
  <c r="O52"/>
  <c r="P52"/>
  <c r="Q52"/>
  <c r="R52"/>
  <c r="S52"/>
  <c r="T52"/>
  <c r="U52"/>
  <c r="V52"/>
  <c r="W52"/>
  <c r="X52"/>
  <c r="Y52"/>
  <c r="Z52"/>
  <c r="AA52"/>
  <c r="AB52"/>
  <c r="AC52"/>
  <c r="A53"/>
  <c r="B53"/>
  <c r="C53"/>
  <c r="E53"/>
  <c r="D53" s="1"/>
  <c r="F53"/>
  <c r="G53"/>
  <c r="H53"/>
  <c r="I53"/>
  <c r="J53"/>
  <c r="K53"/>
  <c r="L53"/>
  <c r="M53"/>
  <c r="N53"/>
  <c r="O53"/>
  <c r="P53"/>
  <c r="Q53"/>
  <c r="R53"/>
  <c r="S53"/>
  <c r="T53"/>
  <c r="U53"/>
  <c r="V53"/>
  <c r="W53"/>
  <c r="X53"/>
  <c r="Y53"/>
  <c r="Z53"/>
  <c r="AA53"/>
  <c r="AB53"/>
  <c r="AC53"/>
  <c r="A54"/>
  <c r="B54"/>
  <c r="C54"/>
  <c r="E54"/>
  <c r="D54" s="1"/>
  <c r="F54"/>
  <c r="G54"/>
  <c r="H54"/>
  <c r="I54"/>
  <c r="J54"/>
  <c r="K54"/>
  <c r="L54"/>
  <c r="M54"/>
  <c r="N54"/>
  <c r="O54"/>
  <c r="P54"/>
  <c r="Q54"/>
  <c r="R54"/>
  <c r="S54"/>
  <c r="T54"/>
  <c r="U54"/>
  <c r="V54"/>
  <c r="W54"/>
  <c r="X54"/>
  <c r="Y54"/>
  <c r="Z54"/>
  <c r="AA54"/>
  <c r="AB54"/>
  <c r="AC54"/>
  <c r="A55"/>
  <c r="B55"/>
  <c r="C55"/>
  <c r="D55"/>
  <c r="E55"/>
  <c r="F55"/>
  <c r="G55"/>
  <c r="H55"/>
  <c r="I55"/>
  <c r="J55"/>
  <c r="K55"/>
  <c r="L55"/>
  <c r="M55"/>
  <c r="N55"/>
  <c r="O55"/>
  <c r="P55"/>
  <c r="Q55"/>
  <c r="R55"/>
  <c r="S55"/>
  <c r="T55"/>
  <c r="U55"/>
  <c r="V55"/>
  <c r="W55"/>
  <c r="X55"/>
  <c r="Y55"/>
  <c r="Z55"/>
  <c r="AA55"/>
  <c r="AB55"/>
  <c r="AC55"/>
  <c r="A56"/>
  <c r="B56"/>
  <c r="C56"/>
  <c r="E56"/>
  <c r="D56" s="1"/>
  <c r="F56"/>
  <c r="G56"/>
  <c r="H56"/>
  <c r="I56"/>
  <c r="J56"/>
  <c r="K56"/>
  <c r="L56"/>
  <c r="M56"/>
  <c r="N56"/>
  <c r="O56"/>
  <c r="P56"/>
  <c r="Q56"/>
  <c r="R56"/>
  <c r="S56"/>
  <c r="T56"/>
  <c r="U56"/>
  <c r="V56"/>
  <c r="W56"/>
  <c r="X56"/>
  <c r="Y56"/>
  <c r="Z56"/>
  <c r="AA56"/>
  <c r="AB56"/>
  <c r="AC56"/>
  <c r="A57"/>
  <c r="B57"/>
  <c r="C57"/>
  <c r="D57"/>
  <c r="E57"/>
  <c r="F57"/>
  <c r="G57"/>
  <c r="H57"/>
  <c r="I57"/>
  <c r="J57"/>
  <c r="K57"/>
  <c r="L57"/>
  <c r="M57"/>
  <c r="N57"/>
  <c r="O57"/>
  <c r="P57"/>
  <c r="Q57"/>
  <c r="R57"/>
  <c r="S57"/>
  <c r="T57"/>
  <c r="U57"/>
  <c r="V57"/>
  <c r="W57"/>
  <c r="X57"/>
  <c r="Y57"/>
  <c r="Z57"/>
  <c r="AA57"/>
  <c r="AB57"/>
  <c r="AC57"/>
  <c r="A58"/>
  <c r="B58"/>
  <c r="C58"/>
  <c r="E58"/>
  <c r="D58" s="1"/>
  <c r="F58"/>
  <c r="G58"/>
  <c r="H58"/>
  <c r="I58"/>
  <c r="J58"/>
  <c r="K58"/>
  <c r="L58"/>
  <c r="M58"/>
  <c r="N58"/>
  <c r="O58"/>
  <c r="P58"/>
  <c r="Q58"/>
  <c r="R58"/>
  <c r="S58"/>
  <c r="T58"/>
  <c r="U58"/>
  <c r="V58"/>
  <c r="W58"/>
  <c r="X58"/>
  <c r="Y58"/>
  <c r="Z58"/>
  <c r="AA58"/>
  <c r="AB58"/>
  <c r="AC58"/>
  <c r="A59"/>
  <c r="B59"/>
  <c r="C59"/>
  <c r="E59"/>
  <c r="D59" s="1"/>
  <c r="F59"/>
  <c r="G59"/>
  <c r="H59"/>
  <c r="I59"/>
  <c r="J59"/>
  <c r="K59"/>
  <c r="L59"/>
  <c r="M59"/>
  <c r="N59"/>
  <c r="O59"/>
  <c r="P59"/>
  <c r="Q59"/>
  <c r="R59"/>
  <c r="S59"/>
  <c r="T59"/>
  <c r="U59"/>
  <c r="V59"/>
  <c r="W59"/>
  <c r="X59"/>
  <c r="Y59"/>
  <c r="Z59"/>
  <c r="AA59"/>
  <c r="AB59"/>
  <c r="AC59"/>
  <c r="A60"/>
  <c r="B60"/>
  <c r="C60"/>
  <c r="E60"/>
  <c r="D60" s="1"/>
  <c r="F60"/>
  <c r="G60"/>
  <c r="H60"/>
  <c r="I60"/>
  <c r="J60"/>
  <c r="K60"/>
  <c r="L60"/>
  <c r="M60"/>
  <c r="N60"/>
  <c r="O60"/>
  <c r="P60"/>
  <c r="Q60"/>
  <c r="R60"/>
  <c r="S60"/>
  <c r="T60"/>
  <c r="U60"/>
  <c r="V60"/>
  <c r="W60"/>
  <c r="X60"/>
  <c r="Y60"/>
  <c r="Z60"/>
  <c r="AA60"/>
  <c r="AB60"/>
  <c r="AC60"/>
  <c r="A61"/>
  <c r="B61"/>
  <c r="C61"/>
  <c r="E61"/>
  <c r="D61" s="1"/>
  <c r="F61"/>
  <c r="G61"/>
  <c r="H61"/>
  <c r="I61"/>
  <c r="J61"/>
  <c r="K61"/>
  <c r="L61"/>
  <c r="M61"/>
  <c r="N61"/>
  <c r="O61"/>
  <c r="P61"/>
  <c r="Q61"/>
  <c r="R61"/>
  <c r="S61"/>
  <c r="T61"/>
  <c r="U61"/>
  <c r="V61"/>
  <c r="W61"/>
  <c r="X61"/>
  <c r="Y61"/>
  <c r="Z61"/>
  <c r="AA61"/>
  <c r="AB61"/>
  <c r="AC61"/>
  <c r="A62"/>
  <c r="B62"/>
  <c r="C62"/>
  <c r="E62"/>
  <c r="D62" s="1"/>
  <c r="F62"/>
  <c r="G62"/>
  <c r="H62"/>
  <c r="I62"/>
  <c r="J62"/>
  <c r="K62"/>
  <c r="L62"/>
  <c r="M62"/>
  <c r="N62"/>
  <c r="O62"/>
  <c r="P62"/>
  <c r="Q62"/>
  <c r="R62"/>
  <c r="S62"/>
  <c r="T62"/>
  <c r="U62"/>
  <c r="V62"/>
  <c r="W62"/>
  <c r="X62"/>
  <c r="Y62"/>
  <c r="Z62"/>
  <c r="AA62"/>
  <c r="AB62"/>
  <c r="AC62"/>
  <c r="A63"/>
  <c r="B63"/>
  <c r="C63"/>
  <c r="D63"/>
  <c r="E63"/>
  <c r="F63"/>
  <c r="G63"/>
  <c r="H63"/>
  <c r="I63"/>
  <c r="J63"/>
  <c r="K63"/>
  <c r="L63"/>
  <c r="M63"/>
  <c r="N63"/>
  <c r="O63"/>
  <c r="P63"/>
  <c r="Q63"/>
  <c r="R63"/>
  <c r="S63"/>
  <c r="T63"/>
  <c r="U63"/>
  <c r="V63"/>
  <c r="W63"/>
  <c r="X63"/>
  <c r="Y63"/>
  <c r="Z63"/>
  <c r="AA63"/>
  <c r="AB63"/>
  <c r="AC63"/>
  <c r="A64"/>
  <c r="B64"/>
  <c r="C64"/>
  <c r="E64"/>
  <c r="D64" s="1"/>
  <c r="F64"/>
  <c r="G64"/>
  <c r="H64"/>
  <c r="I64"/>
  <c r="J64"/>
  <c r="K64"/>
  <c r="L64"/>
  <c r="M64"/>
  <c r="N64"/>
  <c r="O64"/>
  <c r="P64"/>
  <c r="Q64"/>
  <c r="R64"/>
  <c r="S64"/>
  <c r="T64"/>
  <c r="U64"/>
  <c r="V64"/>
  <c r="W64"/>
  <c r="X64"/>
  <c r="Y64"/>
  <c r="Z64"/>
  <c r="AA64"/>
  <c r="AB64"/>
  <c r="AC64"/>
  <c r="A65"/>
  <c r="B65"/>
  <c r="C65"/>
  <c r="D65"/>
  <c r="E65"/>
  <c r="F65"/>
  <c r="G65"/>
  <c r="H65"/>
  <c r="I65"/>
  <c r="J65"/>
  <c r="K65"/>
  <c r="L65"/>
  <c r="M65"/>
  <c r="N65"/>
  <c r="O65"/>
  <c r="P65"/>
  <c r="Q65"/>
  <c r="R65"/>
  <c r="S65"/>
  <c r="T65"/>
  <c r="U65"/>
  <c r="V65"/>
  <c r="W65"/>
  <c r="X65"/>
  <c r="Y65"/>
  <c r="Z65"/>
  <c r="AA65"/>
  <c r="AB65"/>
  <c r="AC65"/>
  <c r="A66"/>
  <c r="B66"/>
  <c r="C66"/>
  <c r="E66"/>
  <c r="D66" s="1"/>
  <c r="F66"/>
  <c r="G66"/>
  <c r="H66"/>
  <c r="I66"/>
  <c r="J66"/>
  <c r="K66"/>
  <c r="L66"/>
  <c r="M66"/>
  <c r="N66"/>
  <c r="O66"/>
  <c r="P66"/>
  <c r="Q66"/>
  <c r="R66"/>
  <c r="S66"/>
  <c r="T66"/>
  <c r="U66"/>
  <c r="V66"/>
  <c r="W66"/>
  <c r="X66"/>
  <c r="Y66"/>
  <c r="Z66"/>
  <c r="AA66"/>
  <c r="AB66"/>
  <c r="AC66"/>
  <c r="A67"/>
  <c r="B67"/>
  <c r="C67"/>
  <c r="E67"/>
  <c r="D67" s="1"/>
  <c r="F67"/>
  <c r="G67"/>
  <c r="H67"/>
  <c r="I67"/>
  <c r="J67"/>
  <c r="K67"/>
  <c r="L67"/>
  <c r="M67"/>
  <c r="N67"/>
  <c r="O67"/>
  <c r="P67"/>
  <c r="Q67"/>
  <c r="R67"/>
  <c r="S67"/>
  <c r="T67"/>
  <c r="U67"/>
  <c r="V67"/>
  <c r="W67"/>
  <c r="X67"/>
  <c r="Y67"/>
  <c r="Z67"/>
  <c r="AA67"/>
  <c r="AB67"/>
  <c r="AC67"/>
  <c r="A68"/>
  <c r="B68"/>
  <c r="C68"/>
  <c r="E68"/>
  <c r="D68" s="1"/>
  <c r="F68"/>
  <c r="G68"/>
  <c r="H68"/>
  <c r="I68"/>
  <c r="J68"/>
  <c r="K68"/>
  <c r="L68"/>
  <c r="M68"/>
  <c r="N68"/>
  <c r="O68"/>
  <c r="P68"/>
  <c r="Q68"/>
  <c r="R68"/>
  <c r="S68"/>
  <c r="T68"/>
  <c r="U68"/>
  <c r="V68"/>
  <c r="W68"/>
  <c r="X68"/>
  <c r="Y68"/>
  <c r="Z68"/>
  <c r="AA68"/>
  <c r="AB68"/>
  <c r="AC68"/>
  <c r="A69"/>
  <c r="B69"/>
  <c r="C69"/>
  <c r="E69"/>
  <c r="D69" s="1"/>
  <c r="F69"/>
  <c r="G69"/>
  <c r="H69"/>
  <c r="I69"/>
  <c r="J69"/>
  <c r="K69"/>
  <c r="L69"/>
  <c r="M69"/>
  <c r="N69"/>
  <c r="O69"/>
  <c r="P69"/>
  <c r="Q69"/>
  <c r="R69"/>
  <c r="S69"/>
  <c r="T69"/>
  <c r="U69"/>
  <c r="V69"/>
  <c r="W69"/>
  <c r="X69"/>
  <c r="Y69"/>
  <c r="Z69"/>
  <c r="AA69"/>
  <c r="AB69"/>
  <c r="AC69"/>
  <c r="A70"/>
  <c r="B70"/>
  <c r="C70"/>
  <c r="E70"/>
  <c r="D70" s="1"/>
  <c r="F70"/>
  <c r="G70"/>
  <c r="H70"/>
  <c r="I70"/>
  <c r="J70"/>
  <c r="K70"/>
  <c r="L70"/>
  <c r="M70"/>
  <c r="N70"/>
  <c r="O70"/>
  <c r="P70"/>
  <c r="Q70"/>
  <c r="R70"/>
  <c r="S70"/>
  <c r="T70"/>
  <c r="U70"/>
  <c r="V70"/>
  <c r="W70"/>
  <c r="X70"/>
  <c r="Y70"/>
  <c r="Z70"/>
  <c r="AA70"/>
  <c r="AB70"/>
  <c r="AC70"/>
  <c r="A71"/>
  <c r="B71"/>
  <c r="C71"/>
  <c r="D71"/>
  <c r="E71"/>
  <c r="F71"/>
  <c r="G71"/>
  <c r="H71"/>
  <c r="I71"/>
  <c r="J71"/>
  <c r="K71"/>
  <c r="L71"/>
  <c r="M71"/>
  <c r="N71"/>
  <c r="O71"/>
  <c r="P71"/>
  <c r="Q71"/>
  <c r="R71"/>
  <c r="S71"/>
  <c r="T71"/>
  <c r="U71"/>
  <c r="V71"/>
  <c r="W71"/>
  <c r="X71"/>
  <c r="Y71"/>
  <c r="Z71"/>
  <c r="AA71"/>
  <c r="AB71"/>
  <c r="AC71"/>
  <c r="A72"/>
  <c r="B72"/>
  <c r="C72"/>
  <c r="E72"/>
  <c r="D72" s="1"/>
  <c r="F72"/>
  <c r="G72"/>
  <c r="H72"/>
  <c r="I72"/>
  <c r="J72"/>
  <c r="K72"/>
  <c r="L72"/>
  <c r="M72"/>
  <c r="N72"/>
  <c r="O72"/>
  <c r="P72"/>
  <c r="Q72"/>
  <c r="R72"/>
  <c r="S72"/>
  <c r="T72"/>
  <c r="U72"/>
  <c r="V72"/>
  <c r="W72"/>
  <c r="X72"/>
  <c r="Y72"/>
  <c r="Z72"/>
  <c r="AA72"/>
  <c r="AB72"/>
  <c r="AC72"/>
  <c r="A73"/>
  <c r="B73"/>
  <c r="C73"/>
  <c r="D73"/>
  <c r="E73"/>
  <c r="F73"/>
  <c r="G73"/>
  <c r="H73"/>
  <c r="I73"/>
  <c r="J73"/>
  <c r="K73"/>
  <c r="L73"/>
  <c r="M73"/>
  <c r="N73"/>
  <c r="O73"/>
  <c r="P73"/>
  <c r="Q73"/>
  <c r="R73"/>
  <c r="S73"/>
  <c r="T73"/>
  <c r="U73"/>
  <c r="V73"/>
  <c r="W73"/>
  <c r="X73"/>
  <c r="Y73"/>
  <c r="Z73"/>
  <c r="AA73"/>
  <c r="AB73"/>
  <c r="AC73"/>
  <c r="A74"/>
  <c r="B74"/>
  <c r="C74"/>
  <c r="E74"/>
  <c r="D74" s="1"/>
  <c r="F74"/>
  <c r="G74"/>
  <c r="H74"/>
  <c r="I74"/>
  <c r="J74"/>
  <c r="K74"/>
  <c r="L74"/>
  <c r="M74"/>
  <c r="N74"/>
  <c r="O74"/>
  <c r="P74"/>
  <c r="Q74"/>
  <c r="R74"/>
  <c r="S74"/>
  <c r="T74"/>
  <c r="U74"/>
  <c r="V74"/>
  <c r="W74"/>
  <c r="X74"/>
  <c r="Y74"/>
  <c r="Z74"/>
  <c r="AA74"/>
  <c r="AB74"/>
  <c r="AC74"/>
  <c r="A75"/>
  <c r="B75"/>
  <c r="C75"/>
  <c r="E75"/>
  <c r="D75" s="1"/>
  <c r="F75"/>
  <c r="G75"/>
  <c r="H75"/>
  <c r="I75"/>
  <c r="J75"/>
  <c r="K75"/>
  <c r="L75"/>
  <c r="M75"/>
  <c r="N75"/>
  <c r="O75"/>
  <c r="P75"/>
  <c r="Q75"/>
  <c r="R75"/>
  <c r="S75"/>
  <c r="T75"/>
  <c r="U75"/>
  <c r="V75"/>
  <c r="W75"/>
  <c r="X75"/>
  <c r="Y75"/>
  <c r="Z75"/>
  <c r="AA75"/>
  <c r="AB75"/>
  <c r="AC75"/>
  <c r="A76"/>
  <c r="B76"/>
  <c r="C76"/>
  <c r="E76"/>
  <c r="D76" s="1"/>
  <c r="F76"/>
  <c r="G76"/>
  <c r="H76"/>
  <c r="I76"/>
  <c r="J76"/>
  <c r="K76"/>
  <c r="L76"/>
  <c r="M76"/>
  <c r="N76"/>
  <c r="O76"/>
  <c r="P76"/>
  <c r="Q76"/>
  <c r="R76"/>
  <c r="S76"/>
  <c r="T76"/>
  <c r="U76"/>
  <c r="V76"/>
  <c r="W76"/>
  <c r="X76"/>
  <c r="Y76"/>
  <c r="Z76"/>
  <c r="AA76"/>
  <c r="AB76"/>
  <c r="AC76"/>
  <c r="A77"/>
  <c r="B77"/>
  <c r="C77"/>
  <c r="E77"/>
  <c r="D77" s="1"/>
  <c r="F77"/>
  <c r="G77"/>
  <c r="H77"/>
  <c r="I77"/>
  <c r="J77"/>
  <c r="K77"/>
  <c r="L77"/>
  <c r="M77"/>
  <c r="N77"/>
  <c r="O77"/>
  <c r="P77"/>
  <c r="Q77"/>
  <c r="R77"/>
  <c r="S77"/>
  <c r="T77"/>
  <c r="U77"/>
  <c r="V77"/>
  <c r="W77"/>
  <c r="X77"/>
  <c r="Y77"/>
  <c r="Z77"/>
  <c r="AA77"/>
  <c r="AB77"/>
  <c r="AC77"/>
  <c r="A78"/>
  <c r="B78"/>
  <c r="C78"/>
  <c r="E78"/>
  <c r="D78" s="1"/>
  <c r="F78"/>
  <c r="G78"/>
  <c r="H78"/>
  <c r="I78"/>
  <c r="J78"/>
  <c r="K78"/>
  <c r="L78"/>
  <c r="M78"/>
  <c r="N78"/>
  <c r="O78"/>
  <c r="P78"/>
  <c r="Q78"/>
  <c r="R78"/>
  <c r="S78"/>
  <c r="T78"/>
  <c r="U78"/>
  <c r="V78"/>
  <c r="W78"/>
  <c r="X78"/>
  <c r="Y78"/>
  <c r="Z78"/>
  <c r="AA78"/>
  <c r="AB78"/>
  <c r="AC78"/>
  <c r="A79"/>
  <c r="B79"/>
  <c r="C79"/>
  <c r="D79"/>
  <c r="E79"/>
  <c r="F79"/>
  <c r="G79"/>
  <c r="H79"/>
  <c r="I79"/>
  <c r="J79"/>
  <c r="K79"/>
  <c r="L79"/>
  <c r="M79"/>
  <c r="N79"/>
  <c r="O79"/>
  <c r="P79"/>
  <c r="Q79"/>
  <c r="R79"/>
  <c r="S79"/>
  <c r="T79"/>
  <c r="U79"/>
  <c r="V79"/>
  <c r="W79"/>
  <c r="X79"/>
  <c r="Y79"/>
  <c r="Z79"/>
  <c r="AA79"/>
  <c r="AB79"/>
  <c r="AC79"/>
  <c r="A80"/>
  <c r="B80"/>
  <c r="C80"/>
  <c r="E80"/>
  <c r="D80" s="1"/>
  <c r="F80"/>
  <c r="G80"/>
  <c r="H80"/>
  <c r="I80"/>
  <c r="J80"/>
  <c r="K80"/>
  <c r="L80"/>
  <c r="M80"/>
  <c r="N80"/>
  <c r="O80"/>
  <c r="P80"/>
  <c r="Q80"/>
  <c r="R80"/>
  <c r="S80"/>
  <c r="T80"/>
  <c r="U80"/>
  <c r="V80"/>
  <c r="W80"/>
  <c r="X80"/>
  <c r="Y80"/>
  <c r="Z80"/>
  <c r="AA80"/>
  <c r="AB80"/>
  <c r="AC80"/>
  <c r="A81"/>
  <c r="B81"/>
  <c r="C81"/>
  <c r="D81"/>
  <c r="E81"/>
  <c r="F81"/>
  <c r="G81"/>
  <c r="H81"/>
  <c r="I81"/>
  <c r="J81"/>
  <c r="K81"/>
  <c r="L81"/>
  <c r="M81"/>
  <c r="N81"/>
  <c r="O81"/>
  <c r="P81"/>
  <c r="Q81"/>
  <c r="R81"/>
  <c r="S81"/>
  <c r="T81"/>
  <c r="U81"/>
  <c r="V81"/>
  <c r="W81"/>
  <c r="X81"/>
  <c r="Y81"/>
  <c r="Z81"/>
  <c r="AA81"/>
  <c r="AB81"/>
  <c r="AC81"/>
  <c r="A82"/>
  <c r="B82"/>
  <c r="C82"/>
  <c r="E82"/>
  <c r="D82" s="1"/>
  <c r="F82"/>
  <c r="G82"/>
  <c r="H82"/>
  <c r="I82"/>
  <c r="J82"/>
  <c r="K82"/>
  <c r="L82"/>
  <c r="M82"/>
  <c r="N82"/>
  <c r="O82"/>
  <c r="P82"/>
  <c r="Q82"/>
  <c r="R82"/>
  <c r="S82"/>
  <c r="T82"/>
  <c r="U82"/>
  <c r="V82"/>
  <c r="W82"/>
  <c r="X82"/>
  <c r="Y82"/>
  <c r="Z82"/>
  <c r="AA82"/>
  <c r="AB82"/>
  <c r="AC82"/>
  <c r="A83"/>
  <c r="B83"/>
  <c r="C83"/>
  <c r="E83"/>
  <c r="D83" s="1"/>
  <c r="F83"/>
  <c r="G83"/>
  <c r="H83"/>
  <c r="I83"/>
  <c r="J83"/>
  <c r="K83"/>
  <c r="L83"/>
  <c r="M83"/>
  <c r="N83"/>
  <c r="O83"/>
  <c r="P83"/>
  <c r="Q83"/>
  <c r="R83"/>
  <c r="S83"/>
  <c r="T83"/>
  <c r="U83"/>
  <c r="V83"/>
  <c r="W83"/>
  <c r="X83"/>
  <c r="Y83"/>
  <c r="Z83"/>
  <c r="AA83"/>
  <c r="AB83"/>
  <c r="AC83"/>
  <c r="A84"/>
  <c r="B84"/>
  <c r="C84"/>
  <c r="E84"/>
  <c r="D84" s="1"/>
  <c r="F84"/>
  <c r="G84"/>
  <c r="H84"/>
  <c r="I84"/>
  <c r="J84"/>
  <c r="K84"/>
  <c r="L84"/>
  <c r="M84"/>
  <c r="N84"/>
  <c r="O84"/>
  <c r="P84"/>
  <c r="Q84"/>
  <c r="R84"/>
  <c r="S84"/>
  <c r="T84"/>
  <c r="U84"/>
  <c r="V84"/>
  <c r="W84"/>
  <c r="X84"/>
  <c r="Y84"/>
  <c r="Z84"/>
  <c r="AA84"/>
  <c r="AB84"/>
  <c r="AC84"/>
  <c r="A85"/>
  <c r="B85"/>
  <c r="C85"/>
  <c r="E85"/>
  <c r="D85" s="1"/>
  <c r="F85"/>
  <c r="G85"/>
  <c r="H85"/>
  <c r="I85"/>
  <c r="J85"/>
  <c r="K85"/>
  <c r="L85"/>
  <c r="M85"/>
  <c r="N85"/>
  <c r="O85"/>
  <c r="P85"/>
  <c r="Q85"/>
  <c r="R85"/>
  <c r="S85"/>
  <c r="T85"/>
  <c r="U85"/>
  <c r="V85"/>
  <c r="W85"/>
  <c r="X85"/>
  <c r="Y85"/>
  <c r="Z85"/>
  <c r="AA85"/>
  <c r="AB85"/>
  <c r="AC85"/>
  <c r="A86"/>
  <c r="B86"/>
  <c r="C86"/>
  <c r="E86"/>
  <c r="D86" s="1"/>
  <c r="F86"/>
  <c r="G86"/>
  <c r="H86"/>
  <c r="I86"/>
  <c r="J86"/>
  <c r="K86"/>
  <c r="L86"/>
  <c r="M86"/>
  <c r="N86"/>
  <c r="O86"/>
  <c r="P86"/>
  <c r="Q86"/>
  <c r="R86"/>
  <c r="S86"/>
  <c r="T86"/>
  <c r="U86"/>
  <c r="V86"/>
  <c r="W86"/>
  <c r="X86"/>
  <c r="Y86"/>
  <c r="Z86"/>
  <c r="AA86"/>
  <c r="AB86"/>
  <c r="AC86"/>
  <c r="A87"/>
  <c r="B87"/>
  <c r="C87"/>
  <c r="D87"/>
  <c r="E87"/>
  <c r="F87"/>
  <c r="G87"/>
  <c r="H87"/>
  <c r="I87"/>
  <c r="J87"/>
  <c r="K87"/>
  <c r="L87"/>
  <c r="M87"/>
  <c r="N87"/>
  <c r="O87"/>
  <c r="P87"/>
  <c r="Q87"/>
  <c r="R87"/>
  <c r="S87"/>
  <c r="T87"/>
  <c r="U87"/>
  <c r="V87"/>
  <c r="W87"/>
  <c r="X87"/>
  <c r="Y87"/>
  <c r="Z87"/>
  <c r="AA87"/>
  <c r="AB87"/>
  <c r="AC87"/>
  <c r="A88"/>
  <c r="B88"/>
  <c r="C88"/>
  <c r="E88"/>
  <c r="D88" s="1"/>
  <c r="F88"/>
  <c r="G88"/>
  <c r="H88"/>
  <c r="I88"/>
  <c r="J88"/>
  <c r="K88"/>
  <c r="L88"/>
  <c r="M88"/>
  <c r="N88"/>
  <c r="O88"/>
  <c r="P88"/>
  <c r="Q88"/>
  <c r="R88"/>
  <c r="S88"/>
  <c r="T88"/>
  <c r="U88"/>
  <c r="V88"/>
  <c r="W88"/>
  <c r="X88"/>
  <c r="Y88"/>
  <c r="Z88"/>
  <c r="AA88"/>
  <c r="AB88"/>
  <c r="AC88"/>
  <c r="A89"/>
  <c r="B89"/>
  <c r="C89"/>
  <c r="D89"/>
  <c r="E89"/>
  <c r="F89"/>
  <c r="G89"/>
  <c r="H89"/>
  <c r="I89"/>
  <c r="J89"/>
  <c r="K89"/>
  <c r="L89"/>
  <c r="M89"/>
  <c r="N89"/>
  <c r="O89"/>
  <c r="P89"/>
  <c r="Q89"/>
  <c r="R89"/>
  <c r="S89"/>
  <c r="T89"/>
  <c r="U89"/>
  <c r="V89"/>
  <c r="W89"/>
  <c r="X89"/>
  <c r="Y89"/>
  <c r="Z89"/>
  <c r="AA89"/>
  <c r="AB89"/>
  <c r="AC89"/>
  <c r="A90"/>
  <c r="B90"/>
  <c r="C90"/>
  <c r="E90"/>
  <c r="D90" s="1"/>
  <c r="F90"/>
  <c r="G90"/>
  <c r="H90"/>
  <c r="I90"/>
  <c r="J90"/>
  <c r="K90"/>
  <c r="L90"/>
  <c r="M90"/>
  <c r="N90"/>
  <c r="O90"/>
  <c r="P90"/>
  <c r="Q90"/>
  <c r="R90"/>
  <c r="S90"/>
  <c r="T90"/>
  <c r="U90"/>
  <c r="V90"/>
  <c r="W90"/>
  <c r="X90"/>
  <c r="Y90"/>
  <c r="Z90"/>
  <c r="AA90"/>
  <c r="AB90"/>
  <c r="AC90"/>
  <c r="A91"/>
  <c r="B91"/>
  <c r="C91"/>
  <c r="E91"/>
  <c r="D91" s="1"/>
  <c r="F91"/>
  <c r="G91"/>
  <c r="H91"/>
  <c r="I91"/>
  <c r="J91"/>
  <c r="K91"/>
  <c r="L91"/>
  <c r="M91"/>
  <c r="N91"/>
  <c r="O91"/>
  <c r="P91"/>
  <c r="Q91"/>
  <c r="R91"/>
  <c r="S91"/>
  <c r="T91"/>
  <c r="U91"/>
  <c r="V91"/>
  <c r="W91"/>
  <c r="X91"/>
  <c r="Y91"/>
  <c r="Z91"/>
  <c r="AA91"/>
  <c r="AB91"/>
  <c r="AC91"/>
  <c r="A92"/>
  <c r="B92"/>
  <c r="C92"/>
  <c r="E92"/>
  <c r="D92" s="1"/>
  <c r="F92"/>
  <c r="G92"/>
  <c r="H92"/>
  <c r="I92"/>
  <c r="J92"/>
  <c r="K92"/>
  <c r="L92"/>
  <c r="M92"/>
  <c r="N92"/>
  <c r="O92"/>
  <c r="P92"/>
  <c r="Q92"/>
  <c r="R92"/>
  <c r="S92"/>
  <c r="T92"/>
  <c r="U92"/>
  <c r="V92"/>
  <c r="W92"/>
  <c r="X92"/>
  <c r="Y92"/>
  <c r="Z92"/>
  <c r="AA92"/>
  <c r="AB92"/>
  <c r="AC92"/>
  <c r="A93"/>
  <c r="B93"/>
  <c r="C93"/>
  <c r="E93"/>
  <c r="D93" s="1"/>
  <c r="F93"/>
  <c r="G93"/>
  <c r="H93"/>
  <c r="I93"/>
  <c r="J93"/>
  <c r="K93"/>
  <c r="L93"/>
  <c r="M93"/>
  <c r="N93"/>
  <c r="O93"/>
  <c r="P93"/>
  <c r="Q93"/>
  <c r="R93"/>
  <c r="S93"/>
  <c r="T93"/>
  <c r="U93"/>
  <c r="V93"/>
  <c r="W93"/>
  <c r="X93"/>
  <c r="Y93"/>
  <c r="Z93"/>
  <c r="AA93"/>
  <c r="AB93"/>
  <c r="AC93"/>
  <c r="A94"/>
  <c r="B94"/>
  <c r="C94"/>
  <c r="E94"/>
  <c r="D94" s="1"/>
  <c r="F94"/>
  <c r="G94"/>
  <c r="H94"/>
  <c r="I94"/>
  <c r="J94"/>
  <c r="K94"/>
  <c r="L94"/>
  <c r="M94"/>
  <c r="N94"/>
  <c r="O94"/>
  <c r="P94"/>
  <c r="Q94"/>
  <c r="R94"/>
  <c r="S94"/>
  <c r="T94"/>
  <c r="U94"/>
  <c r="V94"/>
  <c r="W94"/>
  <c r="X94"/>
  <c r="Y94"/>
  <c r="Z94"/>
  <c r="AA94"/>
  <c r="AB94"/>
  <c r="AC94"/>
  <c r="A95"/>
  <c r="B95"/>
  <c r="C95"/>
  <c r="D95"/>
  <c r="E95"/>
  <c r="F95"/>
  <c r="G95"/>
  <c r="H95"/>
  <c r="I95"/>
  <c r="J95"/>
  <c r="K95"/>
  <c r="L95"/>
  <c r="M95"/>
  <c r="N95"/>
  <c r="O95"/>
  <c r="P95"/>
  <c r="Q95"/>
  <c r="R95"/>
  <c r="S95"/>
  <c r="T95"/>
  <c r="U95"/>
  <c r="V95"/>
  <c r="W95"/>
  <c r="X95"/>
  <c r="Y95"/>
  <c r="Z95"/>
  <c r="AA95"/>
  <c r="AB95"/>
  <c r="AC95"/>
  <c r="A96"/>
  <c r="B96"/>
  <c r="C96"/>
  <c r="E96"/>
  <c r="D96" s="1"/>
  <c r="F96"/>
  <c r="G96"/>
  <c r="H96"/>
  <c r="I96"/>
  <c r="J96"/>
  <c r="K96"/>
  <c r="L96"/>
  <c r="M96"/>
  <c r="N96"/>
  <c r="O96"/>
  <c r="P96"/>
  <c r="Q96"/>
  <c r="R96"/>
  <c r="S96"/>
  <c r="T96"/>
  <c r="U96"/>
  <c r="V96"/>
  <c r="W96"/>
  <c r="X96"/>
  <c r="Y96"/>
  <c r="Z96"/>
  <c r="AA96"/>
  <c r="AB96"/>
  <c r="AC96"/>
  <c r="A97"/>
  <c r="B97"/>
  <c r="C97"/>
  <c r="D97"/>
  <c r="E97"/>
  <c r="F97"/>
  <c r="G97"/>
  <c r="H97"/>
  <c r="I97"/>
  <c r="J97"/>
  <c r="K97"/>
  <c r="L97"/>
  <c r="M97"/>
  <c r="N97"/>
  <c r="O97"/>
  <c r="P97"/>
  <c r="Q97"/>
  <c r="R97"/>
  <c r="S97"/>
  <c r="T97"/>
  <c r="U97"/>
  <c r="V97"/>
  <c r="W97"/>
  <c r="X97"/>
  <c r="Y97"/>
  <c r="Z97"/>
  <c r="AA97"/>
  <c r="AB97"/>
  <c r="AC97"/>
  <c r="A98"/>
  <c r="B98"/>
  <c r="C98"/>
  <c r="E98"/>
  <c r="D98" s="1"/>
  <c r="F98"/>
  <c r="G98"/>
  <c r="H98"/>
  <c r="I98"/>
  <c r="J98"/>
  <c r="K98"/>
  <c r="L98"/>
  <c r="M98"/>
  <c r="N98"/>
  <c r="O98"/>
  <c r="P98"/>
  <c r="Q98"/>
  <c r="R98"/>
  <c r="S98"/>
  <c r="T98"/>
  <c r="U98"/>
  <c r="V98"/>
  <c r="W98"/>
  <c r="X98"/>
  <c r="Y98"/>
  <c r="Z98"/>
  <c r="AA98"/>
  <c r="AB98"/>
  <c r="AC98"/>
  <c r="A99"/>
  <c r="B99"/>
  <c r="C99"/>
  <c r="E99"/>
  <c r="D99" s="1"/>
  <c r="F99"/>
  <c r="G99"/>
  <c r="H99"/>
  <c r="I99"/>
  <c r="J99"/>
  <c r="K99"/>
  <c r="L99"/>
  <c r="M99"/>
  <c r="N99"/>
  <c r="O99"/>
  <c r="P99"/>
  <c r="Q99"/>
  <c r="R99"/>
  <c r="S99"/>
  <c r="T99"/>
  <c r="U99"/>
  <c r="V99"/>
  <c r="W99"/>
  <c r="X99"/>
  <c r="Y99"/>
  <c r="Z99"/>
  <c r="AA99"/>
  <c r="AB99"/>
  <c r="AC99"/>
  <c r="A100"/>
  <c r="B100"/>
  <c r="C100"/>
  <c r="E100"/>
  <c r="D100" s="1"/>
  <c r="F100"/>
  <c r="G100"/>
  <c r="H100"/>
  <c r="I100"/>
  <c r="J100"/>
  <c r="K100"/>
  <c r="L100"/>
  <c r="M100"/>
  <c r="N100"/>
  <c r="O100"/>
  <c r="P100"/>
  <c r="Q100"/>
  <c r="R100"/>
  <c r="S100"/>
  <c r="T100"/>
  <c r="U100"/>
  <c r="V100"/>
  <c r="W100"/>
  <c r="X100"/>
  <c r="Y100"/>
  <c r="Z100"/>
  <c r="AA100"/>
  <c r="AB100"/>
  <c r="AC100"/>
  <c r="A101"/>
  <c r="B101"/>
  <c r="C101"/>
  <c r="E101"/>
  <c r="D101" s="1"/>
  <c r="F101"/>
  <c r="G101"/>
  <c r="H101"/>
  <c r="I101"/>
  <c r="J101"/>
  <c r="K101"/>
  <c r="L101"/>
  <c r="M101"/>
  <c r="N101"/>
  <c r="O101"/>
  <c r="P101"/>
  <c r="Q101"/>
  <c r="R101"/>
  <c r="S101"/>
  <c r="T101"/>
  <c r="U101"/>
  <c r="V101"/>
  <c r="W101"/>
  <c r="X101"/>
  <c r="Y101"/>
  <c r="Z101"/>
  <c r="AA101"/>
  <c r="AB101"/>
  <c r="AC101"/>
  <c r="A102"/>
  <c r="B102"/>
  <c r="C102"/>
  <c r="E102"/>
  <c r="D102" s="1"/>
  <c r="F102"/>
  <c r="G102"/>
  <c r="H102"/>
  <c r="I102"/>
  <c r="J102"/>
  <c r="K102"/>
  <c r="L102"/>
  <c r="M102"/>
  <c r="N102"/>
  <c r="O102"/>
  <c r="P102"/>
  <c r="Q102"/>
  <c r="R102"/>
  <c r="S102"/>
  <c r="T102"/>
  <c r="U102"/>
  <c r="V102"/>
  <c r="W102"/>
  <c r="X102"/>
  <c r="Y102"/>
  <c r="Z102"/>
  <c r="AA102"/>
  <c r="AB102"/>
  <c r="AC102"/>
  <c r="A103"/>
  <c r="B103"/>
  <c r="C103"/>
  <c r="D103"/>
  <c r="E103"/>
  <c r="F103"/>
  <c r="G103"/>
  <c r="H103"/>
  <c r="I103"/>
  <c r="J103"/>
  <c r="K103"/>
  <c r="L103"/>
  <c r="M103"/>
  <c r="N103"/>
  <c r="O103"/>
  <c r="P103"/>
  <c r="Q103"/>
  <c r="R103"/>
  <c r="S103"/>
  <c r="T103"/>
  <c r="U103"/>
  <c r="V103"/>
  <c r="W103"/>
  <c r="X103"/>
  <c r="Y103"/>
  <c r="Z103"/>
  <c r="AA103"/>
  <c r="AB103"/>
  <c r="AC103"/>
  <c r="A104"/>
  <c r="B104"/>
  <c r="C104"/>
  <c r="E104"/>
  <c r="D104" s="1"/>
  <c r="F104"/>
  <c r="G104"/>
  <c r="H104"/>
  <c r="I104"/>
  <c r="J104"/>
  <c r="K104"/>
  <c r="L104"/>
  <c r="M104"/>
  <c r="N104"/>
  <c r="O104"/>
  <c r="P104"/>
  <c r="Q104"/>
  <c r="R104"/>
  <c r="S104"/>
  <c r="T104"/>
  <c r="U104"/>
  <c r="V104"/>
  <c r="W104"/>
  <c r="X104"/>
  <c r="Y104"/>
  <c r="Z104"/>
  <c r="AA104"/>
  <c r="AB104"/>
  <c r="AC104"/>
  <c r="A105"/>
  <c r="B105"/>
  <c r="C105"/>
  <c r="D105"/>
  <c r="E105"/>
  <c r="F105"/>
  <c r="G105"/>
  <c r="H105"/>
  <c r="I105"/>
  <c r="J105"/>
  <c r="K105"/>
  <c r="L105"/>
  <c r="M105"/>
  <c r="N105"/>
  <c r="O105"/>
  <c r="P105"/>
  <c r="Q105"/>
  <c r="R105"/>
  <c r="S105"/>
  <c r="T105"/>
  <c r="U105"/>
  <c r="V105"/>
  <c r="W105"/>
  <c r="X105"/>
  <c r="Y105"/>
  <c r="Z105"/>
  <c r="AA105"/>
  <c r="AB105"/>
  <c r="AC105"/>
  <c r="A106"/>
  <c r="B106"/>
  <c r="C106"/>
  <c r="E106"/>
  <c r="D106" s="1"/>
  <c r="F106"/>
  <c r="G106"/>
  <c r="H106"/>
  <c r="I106"/>
  <c r="J106"/>
  <c r="K106"/>
  <c r="L106"/>
  <c r="M106"/>
  <c r="N106"/>
  <c r="O106"/>
  <c r="P106"/>
  <c r="Q106"/>
  <c r="R106"/>
  <c r="S106"/>
  <c r="T106"/>
  <c r="U106"/>
  <c r="V106"/>
  <c r="W106"/>
  <c r="X106"/>
  <c r="Y106"/>
  <c r="Z106"/>
  <c r="AA106"/>
  <c r="AB106"/>
  <c r="AC106"/>
  <c r="A107"/>
  <c r="B107"/>
  <c r="C107"/>
  <c r="E107"/>
  <c r="D107" s="1"/>
  <c r="F107"/>
  <c r="G107"/>
  <c r="H107"/>
  <c r="I107"/>
  <c r="J107"/>
  <c r="K107"/>
  <c r="L107"/>
  <c r="M107"/>
  <c r="N107"/>
  <c r="O107"/>
  <c r="P107"/>
  <c r="Q107"/>
  <c r="R107"/>
  <c r="S107"/>
  <c r="T107"/>
  <c r="U107"/>
  <c r="V107"/>
  <c r="W107"/>
  <c r="X107"/>
  <c r="Y107"/>
  <c r="Z107"/>
  <c r="AA107"/>
  <c r="AB107"/>
  <c r="AC107"/>
  <c r="A108"/>
  <c r="B108"/>
  <c r="C108"/>
  <c r="E108"/>
  <c r="D108" s="1"/>
  <c r="F108"/>
  <c r="G108"/>
  <c r="H108"/>
  <c r="I108"/>
  <c r="J108"/>
  <c r="K108"/>
  <c r="L108"/>
  <c r="M108"/>
  <c r="N108"/>
  <c r="O108"/>
  <c r="P108"/>
  <c r="Q108"/>
  <c r="R108"/>
  <c r="S108"/>
  <c r="T108"/>
  <c r="U108"/>
  <c r="V108"/>
  <c r="W108"/>
  <c r="X108"/>
  <c r="Y108"/>
  <c r="Z108"/>
  <c r="AA108"/>
  <c r="AB108"/>
  <c r="AC108"/>
  <c r="A109"/>
  <c r="B109"/>
  <c r="C109"/>
  <c r="E109"/>
  <c r="D109" s="1"/>
  <c r="F109"/>
  <c r="G109"/>
  <c r="H109"/>
  <c r="I109"/>
  <c r="J109"/>
  <c r="K109"/>
  <c r="L109"/>
  <c r="M109"/>
  <c r="N109"/>
  <c r="O109"/>
  <c r="P109"/>
  <c r="Q109"/>
  <c r="R109"/>
  <c r="S109"/>
  <c r="T109"/>
  <c r="U109"/>
  <c r="V109"/>
  <c r="W109"/>
  <c r="X109"/>
  <c r="Y109"/>
  <c r="Z109"/>
  <c r="AA109"/>
  <c r="AB109"/>
  <c r="AC109"/>
  <c r="A110"/>
  <c r="B110"/>
  <c r="C110"/>
  <c r="E110"/>
  <c r="D110" s="1"/>
  <c r="F110"/>
  <c r="G110"/>
  <c r="H110"/>
  <c r="I110"/>
  <c r="J110"/>
  <c r="K110"/>
  <c r="L110"/>
  <c r="M110"/>
  <c r="N110"/>
  <c r="O110"/>
  <c r="P110"/>
  <c r="Q110"/>
  <c r="R110"/>
  <c r="S110"/>
  <c r="T110"/>
  <c r="U110"/>
  <c r="V110"/>
  <c r="W110"/>
  <c r="X110"/>
  <c r="Y110"/>
  <c r="Z110"/>
  <c r="AA110"/>
  <c r="AB110"/>
  <c r="AC110"/>
  <c r="A111"/>
  <c r="B111"/>
  <c r="C111"/>
  <c r="E111"/>
  <c r="D111" s="1"/>
  <c r="F111"/>
  <c r="G111"/>
  <c r="H111"/>
  <c r="I111"/>
  <c r="J111"/>
  <c r="K111"/>
  <c r="L111"/>
  <c r="M111"/>
  <c r="N111"/>
  <c r="O111"/>
  <c r="P111"/>
  <c r="Q111"/>
  <c r="R111"/>
  <c r="S111"/>
  <c r="T111"/>
  <c r="U111"/>
  <c r="V111"/>
  <c r="W111"/>
  <c r="X111"/>
  <c r="Y111"/>
  <c r="Z111"/>
  <c r="AA111"/>
  <c r="AB111"/>
  <c r="AC111"/>
  <c r="A112"/>
  <c r="B112"/>
  <c r="C112"/>
  <c r="E112"/>
  <c r="D112" s="1"/>
  <c r="F112"/>
  <c r="G112"/>
  <c r="H112"/>
  <c r="I112"/>
  <c r="J112"/>
  <c r="K112"/>
  <c r="L112"/>
  <c r="M112"/>
  <c r="N112"/>
  <c r="O112"/>
  <c r="P112"/>
  <c r="Q112"/>
  <c r="R112"/>
  <c r="S112"/>
  <c r="T112"/>
  <c r="U112"/>
  <c r="V112"/>
  <c r="W112"/>
  <c r="X112"/>
  <c r="Y112"/>
  <c r="Z112"/>
  <c r="AA112"/>
  <c r="AB112"/>
  <c r="AC112"/>
  <c r="A113"/>
  <c r="B113"/>
  <c r="C113"/>
  <c r="E113"/>
  <c r="D113" s="1"/>
  <c r="F113"/>
  <c r="G113"/>
  <c r="H113"/>
  <c r="I113"/>
  <c r="J113"/>
  <c r="K113"/>
  <c r="L113"/>
  <c r="M113"/>
  <c r="N113"/>
  <c r="O113"/>
  <c r="P113"/>
  <c r="Q113"/>
  <c r="R113"/>
  <c r="S113"/>
  <c r="T113"/>
  <c r="U113"/>
  <c r="V113"/>
  <c r="W113"/>
  <c r="X113"/>
  <c r="Y113"/>
  <c r="Z113"/>
  <c r="AA113"/>
  <c r="AB113"/>
  <c r="AC113"/>
  <c r="A114"/>
  <c r="B114"/>
  <c r="C114"/>
  <c r="E114"/>
  <c r="D114" s="1"/>
  <c r="F114"/>
  <c r="G114"/>
  <c r="H114"/>
  <c r="I114"/>
  <c r="J114"/>
  <c r="K114"/>
  <c r="L114"/>
  <c r="M114"/>
  <c r="N114"/>
  <c r="O114"/>
  <c r="P114"/>
  <c r="Q114"/>
  <c r="R114"/>
  <c r="S114"/>
  <c r="T114"/>
  <c r="U114"/>
  <c r="V114"/>
  <c r="W114"/>
  <c r="X114"/>
  <c r="Y114"/>
  <c r="Z114"/>
  <c r="AA114"/>
  <c r="AB114"/>
  <c r="AC114"/>
  <c r="A115"/>
  <c r="B115"/>
  <c r="C115"/>
  <c r="D115"/>
  <c r="E115"/>
  <c r="F115"/>
  <c r="G115"/>
  <c r="H115"/>
  <c r="I115"/>
  <c r="J115"/>
  <c r="K115"/>
  <c r="L115"/>
  <c r="M115"/>
  <c r="N115"/>
  <c r="O115"/>
  <c r="P115"/>
  <c r="Q115"/>
  <c r="R115"/>
  <c r="S115"/>
  <c r="T115"/>
  <c r="U115"/>
  <c r="V115"/>
  <c r="W115"/>
  <c r="X115"/>
  <c r="Y115"/>
  <c r="Z115"/>
  <c r="AA115"/>
  <c r="AB115"/>
  <c r="AC115"/>
  <c r="A116"/>
  <c r="B116"/>
  <c r="C116"/>
  <c r="E116"/>
  <c r="D116" s="1"/>
  <c r="F116"/>
  <c r="G116"/>
  <c r="H116"/>
  <c r="I116"/>
  <c r="J116"/>
  <c r="K116"/>
  <c r="L116"/>
  <c r="M116"/>
  <c r="N116"/>
  <c r="O116"/>
  <c r="P116"/>
  <c r="Q116"/>
  <c r="R116"/>
  <c r="S116"/>
  <c r="T116"/>
  <c r="U116"/>
  <c r="V116"/>
  <c r="W116"/>
  <c r="X116"/>
  <c r="Y116"/>
  <c r="Z116"/>
  <c r="AA116"/>
  <c r="AB116"/>
  <c r="AC116"/>
  <c r="A117"/>
  <c r="B117"/>
  <c r="C117"/>
  <c r="E117"/>
  <c r="D117" s="1"/>
  <c r="F117"/>
  <c r="G117"/>
  <c r="H117"/>
  <c r="I117"/>
  <c r="J117"/>
  <c r="K117"/>
  <c r="L117"/>
  <c r="M117"/>
  <c r="N117"/>
  <c r="O117"/>
  <c r="P117"/>
  <c r="Q117"/>
  <c r="R117"/>
  <c r="S117"/>
  <c r="T117"/>
  <c r="U117"/>
  <c r="V117"/>
  <c r="W117"/>
  <c r="X117"/>
  <c r="Y117"/>
  <c r="Z117"/>
  <c r="AA117"/>
  <c r="AB117"/>
  <c r="AC117"/>
  <c r="A118"/>
  <c r="B118"/>
  <c r="C118"/>
  <c r="E118"/>
  <c r="D118" s="1"/>
  <c r="F118"/>
  <c r="G118"/>
  <c r="H118"/>
  <c r="I118"/>
  <c r="J118"/>
  <c r="K118"/>
  <c r="L118"/>
  <c r="M118"/>
  <c r="N118"/>
  <c r="O118"/>
  <c r="P118"/>
  <c r="Q118"/>
  <c r="R118"/>
  <c r="S118"/>
  <c r="T118"/>
  <c r="U118"/>
  <c r="V118"/>
  <c r="W118"/>
  <c r="X118"/>
  <c r="Y118"/>
  <c r="Z118"/>
  <c r="AA118"/>
  <c r="AB118"/>
  <c r="AC118"/>
  <c r="A119"/>
  <c r="B119"/>
  <c r="C119"/>
  <c r="D119"/>
  <c r="E119"/>
  <c r="F119"/>
  <c r="G119"/>
  <c r="H119"/>
  <c r="I119"/>
  <c r="J119"/>
  <c r="K119"/>
  <c r="L119"/>
  <c r="M119"/>
  <c r="N119"/>
  <c r="O119"/>
  <c r="P119"/>
  <c r="Q119"/>
  <c r="R119"/>
  <c r="S119"/>
  <c r="T119"/>
  <c r="U119"/>
  <c r="V119"/>
  <c r="W119"/>
  <c r="X119"/>
  <c r="Y119"/>
  <c r="Z119"/>
  <c r="AA119"/>
  <c r="AB119"/>
  <c r="AC119"/>
  <c r="A120"/>
  <c r="B120"/>
  <c r="C120"/>
  <c r="E120"/>
  <c r="D120" s="1"/>
  <c r="F120"/>
  <c r="G120"/>
  <c r="H120"/>
  <c r="I120"/>
  <c r="J120"/>
  <c r="K120"/>
  <c r="L120"/>
  <c r="M120"/>
  <c r="N120"/>
  <c r="O120"/>
  <c r="P120"/>
  <c r="Q120"/>
  <c r="R120"/>
  <c r="S120"/>
  <c r="T120"/>
  <c r="U120"/>
  <c r="V120"/>
  <c r="W120"/>
  <c r="X120"/>
  <c r="Y120"/>
  <c r="Z120"/>
  <c r="AA120"/>
  <c r="AB120"/>
  <c r="AC120"/>
  <c r="A121"/>
  <c r="B121"/>
  <c r="C121"/>
  <c r="E121"/>
  <c r="D121" s="1"/>
  <c r="F121"/>
  <c r="G121"/>
  <c r="H121"/>
  <c r="I121"/>
  <c r="J121"/>
  <c r="K121"/>
  <c r="L121"/>
  <c r="M121"/>
  <c r="N121"/>
  <c r="O121"/>
  <c r="P121"/>
  <c r="Q121"/>
  <c r="R121"/>
  <c r="S121"/>
  <c r="T121"/>
  <c r="U121"/>
  <c r="V121"/>
  <c r="W121"/>
  <c r="X121"/>
  <c r="Y121"/>
  <c r="Z121"/>
  <c r="AA121"/>
  <c r="AB121"/>
  <c r="AC121"/>
  <c r="A122"/>
  <c r="B122"/>
  <c r="C122"/>
  <c r="E122"/>
  <c r="D122" s="1"/>
  <c r="F122"/>
  <c r="G122"/>
  <c r="H122"/>
  <c r="I122"/>
  <c r="J122"/>
  <c r="K122"/>
  <c r="L122"/>
  <c r="M122"/>
  <c r="N122"/>
  <c r="O122"/>
  <c r="P122"/>
  <c r="Q122"/>
  <c r="R122"/>
  <c r="S122"/>
  <c r="T122"/>
  <c r="U122"/>
  <c r="V122"/>
  <c r="W122"/>
  <c r="X122"/>
  <c r="Y122"/>
  <c r="Z122"/>
  <c r="AA122"/>
  <c r="AB122"/>
  <c r="AC122"/>
  <c r="A123"/>
  <c r="B123"/>
  <c r="C123"/>
  <c r="D123"/>
  <c r="E123"/>
  <c r="F123"/>
  <c r="G123"/>
  <c r="H123"/>
  <c r="I123"/>
  <c r="J123"/>
  <c r="K123"/>
  <c r="L123"/>
  <c r="M123"/>
  <c r="N123"/>
  <c r="O123"/>
  <c r="P123"/>
  <c r="Q123"/>
  <c r="R123"/>
  <c r="S123"/>
  <c r="T123"/>
  <c r="U123"/>
  <c r="V123"/>
  <c r="W123"/>
  <c r="X123"/>
  <c r="Y123"/>
  <c r="Z123"/>
  <c r="AA123"/>
  <c r="AB123"/>
  <c r="AC123"/>
  <c r="A124"/>
  <c r="B124"/>
  <c r="C124"/>
  <c r="E124"/>
  <c r="D124" s="1"/>
  <c r="F124"/>
  <c r="G124"/>
  <c r="H124"/>
  <c r="I124"/>
  <c r="J124"/>
  <c r="K124"/>
  <c r="L124"/>
  <c r="M124"/>
  <c r="N124"/>
  <c r="O124"/>
  <c r="P124"/>
  <c r="Q124"/>
  <c r="R124"/>
  <c r="S124"/>
  <c r="T124"/>
  <c r="U124"/>
  <c r="V124"/>
  <c r="W124"/>
  <c r="X124"/>
  <c r="Y124"/>
  <c r="Z124"/>
  <c r="AA124"/>
  <c r="AB124"/>
  <c r="AC124"/>
  <c r="A125"/>
  <c r="B125"/>
  <c r="C125"/>
  <c r="E125"/>
  <c r="D125" s="1"/>
  <c r="F125"/>
  <c r="G125"/>
  <c r="H125"/>
  <c r="I125"/>
  <c r="J125"/>
  <c r="K125"/>
  <c r="L125"/>
  <c r="M125"/>
  <c r="N125"/>
  <c r="O125"/>
  <c r="P125"/>
  <c r="Q125"/>
  <c r="R125"/>
  <c r="S125"/>
  <c r="T125"/>
  <c r="U125"/>
  <c r="V125"/>
  <c r="W125"/>
  <c r="X125"/>
  <c r="Y125"/>
  <c r="Z125"/>
  <c r="AA125"/>
  <c r="AB125"/>
  <c r="AC125"/>
  <c r="A126"/>
  <c r="B126"/>
  <c r="C126"/>
  <c r="E126"/>
  <c r="D126" s="1"/>
  <c r="F126"/>
  <c r="G126"/>
  <c r="H126"/>
  <c r="I126"/>
  <c r="J126"/>
  <c r="K126"/>
  <c r="L126"/>
  <c r="M126"/>
  <c r="N126"/>
  <c r="O126"/>
  <c r="P126"/>
  <c r="Q126"/>
  <c r="R126"/>
  <c r="S126"/>
  <c r="T126"/>
  <c r="U126"/>
  <c r="V126"/>
  <c r="W126"/>
  <c r="X126"/>
  <c r="Y126"/>
  <c r="Z126"/>
  <c r="AA126"/>
  <c r="AB126"/>
  <c r="AC126"/>
  <c r="A127"/>
  <c r="B127"/>
  <c r="C127"/>
  <c r="D127"/>
  <c r="E127"/>
  <c r="F127"/>
  <c r="G127"/>
  <c r="H127"/>
  <c r="I127"/>
  <c r="J127"/>
  <c r="K127"/>
  <c r="L127"/>
  <c r="M127"/>
  <c r="N127"/>
  <c r="O127"/>
  <c r="P127"/>
  <c r="Q127"/>
  <c r="R127"/>
  <c r="S127"/>
  <c r="T127"/>
  <c r="U127"/>
  <c r="V127"/>
  <c r="W127"/>
  <c r="X127"/>
  <c r="Y127"/>
  <c r="Z127"/>
  <c r="AA127"/>
  <c r="AB127"/>
  <c r="AC127"/>
  <c r="A128"/>
  <c r="B128"/>
  <c r="C128"/>
  <c r="E128"/>
  <c r="D128" s="1"/>
  <c r="F128"/>
  <c r="G128"/>
  <c r="H128"/>
  <c r="I128"/>
  <c r="J128"/>
  <c r="K128"/>
  <c r="L128"/>
  <c r="M128"/>
  <c r="N128"/>
  <c r="O128"/>
  <c r="P128"/>
  <c r="Q128"/>
  <c r="R128"/>
  <c r="S128"/>
  <c r="T128"/>
  <c r="U128"/>
  <c r="V128"/>
  <c r="W128"/>
  <c r="X128"/>
  <c r="Y128"/>
  <c r="Z128"/>
  <c r="AA128"/>
  <c r="AB128"/>
  <c r="AC128"/>
  <c r="A129"/>
  <c r="B129"/>
  <c r="C129"/>
  <c r="E129"/>
  <c r="D129" s="1"/>
  <c r="F129"/>
  <c r="G129"/>
  <c r="H129"/>
  <c r="I129"/>
  <c r="J129"/>
  <c r="K129"/>
  <c r="L129"/>
  <c r="M129"/>
  <c r="N129"/>
  <c r="O129"/>
  <c r="P129"/>
  <c r="Q129"/>
  <c r="R129"/>
  <c r="S129"/>
  <c r="T129"/>
  <c r="U129"/>
  <c r="V129"/>
  <c r="W129"/>
  <c r="X129"/>
  <c r="Y129"/>
  <c r="Z129"/>
  <c r="AA129"/>
  <c r="AB129"/>
  <c r="AC129"/>
  <c r="A130"/>
  <c r="B130"/>
  <c r="C130"/>
  <c r="E130"/>
  <c r="D130" s="1"/>
  <c r="F130"/>
  <c r="G130"/>
  <c r="H130"/>
  <c r="I130"/>
  <c r="J130"/>
  <c r="K130"/>
  <c r="L130"/>
  <c r="M130"/>
  <c r="N130"/>
  <c r="O130"/>
  <c r="P130"/>
  <c r="Q130"/>
  <c r="R130"/>
  <c r="S130"/>
  <c r="T130"/>
  <c r="U130"/>
  <c r="V130"/>
  <c r="W130"/>
  <c r="X130"/>
  <c r="Y130"/>
  <c r="Z130"/>
  <c r="AA130"/>
  <c r="AB130"/>
  <c r="AC130"/>
  <c r="A131"/>
  <c r="B131"/>
  <c r="C131"/>
  <c r="E131"/>
  <c r="D131" s="1"/>
  <c r="F131"/>
  <c r="G131"/>
  <c r="H131"/>
  <c r="I131"/>
  <c r="J131"/>
  <c r="K131"/>
  <c r="L131"/>
  <c r="M131"/>
  <c r="N131"/>
  <c r="O131"/>
  <c r="P131"/>
  <c r="Q131"/>
  <c r="R131"/>
  <c r="S131"/>
  <c r="T131"/>
  <c r="U131"/>
  <c r="V131"/>
  <c r="W131"/>
  <c r="X131"/>
  <c r="Y131"/>
  <c r="Z131"/>
  <c r="AA131"/>
  <c r="AB131"/>
  <c r="AC131"/>
  <c r="A132"/>
  <c r="B132"/>
  <c r="C132"/>
  <c r="E132"/>
  <c r="D132" s="1"/>
  <c r="F132"/>
  <c r="G132"/>
  <c r="H132"/>
  <c r="I132"/>
  <c r="J132"/>
  <c r="K132"/>
  <c r="L132"/>
  <c r="M132"/>
  <c r="N132"/>
  <c r="O132"/>
  <c r="P132"/>
  <c r="Q132"/>
  <c r="R132"/>
  <c r="S132"/>
  <c r="T132"/>
  <c r="U132"/>
  <c r="V132"/>
  <c r="W132"/>
  <c r="X132"/>
  <c r="Y132"/>
  <c r="Z132"/>
  <c r="AA132"/>
  <c r="AB132"/>
  <c r="AC132"/>
  <c r="A133"/>
  <c r="B133"/>
  <c r="C133"/>
  <c r="E133"/>
  <c r="D133" s="1"/>
  <c r="F133"/>
  <c r="G133"/>
  <c r="H133"/>
  <c r="I133"/>
  <c r="J133"/>
  <c r="K133"/>
  <c r="L133"/>
  <c r="M133"/>
  <c r="N133"/>
  <c r="O133"/>
  <c r="P133"/>
  <c r="Q133"/>
  <c r="R133"/>
  <c r="S133"/>
  <c r="T133"/>
  <c r="U133"/>
  <c r="V133"/>
  <c r="W133"/>
  <c r="X133"/>
  <c r="Y133"/>
  <c r="Z133"/>
  <c r="AA133"/>
  <c r="AB133"/>
  <c r="AC133"/>
  <c r="A134"/>
  <c r="B134"/>
  <c r="C134"/>
  <c r="E134"/>
  <c r="D134" s="1"/>
  <c r="F134"/>
  <c r="G134"/>
  <c r="H134"/>
  <c r="I134"/>
  <c r="J134"/>
  <c r="K134"/>
  <c r="L134"/>
  <c r="M134"/>
  <c r="N134"/>
  <c r="O134"/>
  <c r="P134"/>
  <c r="Q134"/>
  <c r="R134"/>
  <c r="S134"/>
  <c r="T134"/>
  <c r="U134"/>
  <c r="V134"/>
  <c r="W134"/>
  <c r="X134"/>
  <c r="Y134"/>
  <c r="Z134"/>
  <c r="AA134"/>
  <c r="AB134"/>
  <c r="AC134"/>
  <c r="A135"/>
  <c r="B135"/>
  <c r="C135"/>
  <c r="D135"/>
  <c r="E135"/>
  <c r="F135"/>
  <c r="G135"/>
  <c r="H135"/>
  <c r="I135"/>
  <c r="J135"/>
  <c r="K135"/>
  <c r="L135"/>
  <c r="M135"/>
  <c r="N135"/>
  <c r="O135"/>
  <c r="P135"/>
  <c r="Q135"/>
  <c r="R135"/>
  <c r="S135"/>
  <c r="T135"/>
  <c r="U135"/>
  <c r="V135"/>
  <c r="W135"/>
  <c r="X135"/>
  <c r="Y135"/>
  <c r="Z135"/>
  <c r="AA135"/>
  <c r="AB135"/>
  <c r="AC135"/>
  <c r="A136"/>
  <c r="B136"/>
  <c r="C136"/>
  <c r="E136"/>
  <c r="D136" s="1"/>
  <c r="F136"/>
  <c r="G136"/>
  <c r="H136"/>
  <c r="I136"/>
  <c r="J136"/>
  <c r="K136"/>
  <c r="L136"/>
  <c r="M136"/>
  <c r="N136"/>
  <c r="O136"/>
  <c r="P136"/>
  <c r="Q136"/>
  <c r="R136"/>
  <c r="S136"/>
  <c r="T136"/>
  <c r="U136"/>
  <c r="V136"/>
  <c r="W136"/>
  <c r="X136"/>
  <c r="Y136"/>
  <c r="Z136"/>
  <c r="AA136"/>
  <c r="AB136"/>
  <c r="AC136"/>
  <c r="A137"/>
  <c r="B137"/>
  <c r="C137"/>
  <c r="D137"/>
  <c r="E137"/>
  <c r="F137"/>
  <c r="G137"/>
  <c r="H137"/>
  <c r="I137"/>
  <c r="J137"/>
  <c r="K137"/>
  <c r="L137"/>
  <c r="M137"/>
  <c r="N137"/>
  <c r="O137"/>
  <c r="P137"/>
  <c r="Q137"/>
  <c r="R137"/>
  <c r="S137"/>
  <c r="T137"/>
  <c r="U137"/>
  <c r="V137"/>
  <c r="W137"/>
  <c r="X137"/>
  <c r="Y137"/>
  <c r="Z137"/>
  <c r="AA137"/>
  <c r="AB137"/>
  <c r="AC137"/>
  <c r="A138"/>
  <c r="B138"/>
  <c r="C138"/>
  <c r="E138"/>
  <c r="D138" s="1"/>
  <c r="F138"/>
  <c r="G138"/>
  <c r="H138"/>
  <c r="I138"/>
  <c r="J138"/>
  <c r="K138"/>
  <c r="L138"/>
  <c r="M138"/>
  <c r="N138"/>
  <c r="O138"/>
  <c r="P138"/>
  <c r="Q138"/>
  <c r="R138"/>
  <c r="S138"/>
  <c r="T138"/>
  <c r="U138"/>
  <c r="V138"/>
  <c r="W138"/>
  <c r="X138"/>
  <c r="Y138"/>
  <c r="Z138"/>
  <c r="AA138"/>
  <c r="AB138"/>
  <c r="AC138"/>
  <c r="A139"/>
  <c r="B139"/>
  <c r="C139"/>
  <c r="D139"/>
  <c r="E139"/>
  <c r="F139"/>
  <c r="G139"/>
  <c r="H139"/>
  <c r="I139"/>
  <c r="J139"/>
  <c r="K139"/>
  <c r="L139"/>
  <c r="M139"/>
  <c r="N139"/>
  <c r="O139"/>
  <c r="P139"/>
  <c r="Q139"/>
  <c r="R139"/>
  <c r="S139"/>
  <c r="T139"/>
  <c r="U139"/>
  <c r="V139"/>
  <c r="W139"/>
  <c r="X139"/>
  <c r="Y139"/>
  <c r="Z139"/>
  <c r="AA139"/>
  <c r="AB139"/>
  <c r="AC139"/>
  <c r="A140"/>
  <c r="B140"/>
  <c r="C140"/>
  <c r="E140"/>
  <c r="D140" s="1"/>
  <c r="F140"/>
  <c r="G140"/>
  <c r="H140"/>
  <c r="I140"/>
  <c r="J140"/>
  <c r="K140"/>
  <c r="L140"/>
  <c r="M140"/>
  <c r="N140"/>
  <c r="O140"/>
  <c r="P140"/>
  <c r="Q140"/>
  <c r="R140"/>
  <c r="S140"/>
  <c r="T140"/>
  <c r="U140"/>
  <c r="V140"/>
  <c r="W140"/>
  <c r="X140"/>
  <c r="Y140"/>
  <c r="Z140"/>
  <c r="AA140"/>
  <c r="AB140"/>
  <c r="AC140"/>
  <c r="A141"/>
  <c r="B141"/>
  <c r="C141"/>
  <c r="E141"/>
  <c r="D141" s="1"/>
  <c r="F141"/>
  <c r="G141"/>
  <c r="H141"/>
  <c r="I141"/>
  <c r="J141"/>
  <c r="K141"/>
  <c r="L141"/>
  <c r="M141"/>
  <c r="N141"/>
  <c r="O141"/>
  <c r="P141"/>
  <c r="Q141"/>
  <c r="R141"/>
  <c r="S141"/>
  <c r="T141"/>
  <c r="U141"/>
  <c r="V141"/>
  <c r="W141"/>
  <c r="X141"/>
  <c r="Y141"/>
  <c r="Z141"/>
  <c r="AA141"/>
  <c r="AB141"/>
  <c r="AC141"/>
  <c r="A142"/>
  <c r="B142"/>
  <c r="C142"/>
  <c r="E142"/>
  <c r="D142" s="1"/>
  <c r="F142"/>
  <c r="G142"/>
  <c r="H142"/>
  <c r="I142"/>
  <c r="J142"/>
  <c r="K142"/>
  <c r="L142"/>
  <c r="M142"/>
  <c r="N142"/>
  <c r="O142"/>
  <c r="P142"/>
  <c r="Q142"/>
  <c r="R142"/>
  <c r="S142"/>
  <c r="T142"/>
  <c r="U142"/>
  <c r="V142"/>
  <c r="W142"/>
  <c r="X142"/>
  <c r="Y142"/>
  <c r="Z142"/>
  <c r="AA142"/>
  <c r="AB142"/>
  <c r="AC142"/>
  <c r="A143"/>
  <c r="B143"/>
  <c r="C143"/>
  <c r="D143"/>
  <c r="E143"/>
  <c r="F143"/>
  <c r="G143"/>
  <c r="H143"/>
  <c r="I143"/>
  <c r="J143"/>
  <c r="K143"/>
  <c r="L143"/>
  <c r="M143"/>
  <c r="N143"/>
  <c r="O143"/>
  <c r="P143"/>
  <c r="Q143"/>
  <c r="R143"/>
  <c r="S143"/>
  <c r="T143"/>
  <c r="U143"/>
  <c r="V143"/>
  <c r="W143"/>
  <c r="X143"/>
  <c r="Y143"/>
  <c r="Z143"/>
  <c r="AA143"/>
  <c r="AB143"/>
  <c r="AC143"/>
  <c r="A144"/>
  <c r="B144"/>
  <c r="C144"/>
  <c r="E144"/>
  <c r="D144" s="1"/>
  <c r="F144"/>
  <c r="G144"/>
  <c r="H144"/>
  <c r="I144"/>
  <c r="J144"/>
  <c r="K144"/>
  <c r="L144"/>
  <c r="M144"/>
  <c r="N144"/>
  <c r="O144"/>
  <c r="P144"/>
  <c r="Q144"/>
  <c r="R144"/>
  <c r="S144"/>
  <c r="T144"/>
  <c r="U144"/>
  <c r="V144"/>
  <c r="W144"/>
  <c r="X144"/>
  <c r="Y144"/>
  <c r="Z144"/>
  <c r="AA144"/>
  <c r="AB144"/>
  <c r="AC144"/>
  <c r="A145"/>
  <c r="B145"/>
  <c r="C145"/>
  <c r="E145"/>
  <c r="D145" s="1"/>
  <c r="F145"/>
  <c r="G145"/>
  <c r="H145"/>
  <c r="I145"/>
  <c r="J145"/>
  <c r="K145"/>
  <c r="L145"/>
  <c r="M145"/>
  <c r="N145"/>
  <c r="O145"/>
  <c r="P145"/>
  <c r="Q145"/>
  <c r="R145"/>
  <c r="S145"/>
  <c r="T145"/>
  <c r="U145"/>
  <c r="V145"/>
  <c r="W145"/>
  <c r="X145"/>
  <c r="Y145"/>
  <c r="Z145"/>
  <c r="AA145"/>
  <c r="AB145"/>
  <c r="AC145"/>
  <c r="A146"/>
  <c r="B146"/>
  <c r="C146"/>
  <c r="E146"/>
  <c r="D146" s="1"/>
  <c r="F146"/>
  <c r="G146"/>
  <c r="H146"/>
  <c r="I146"/>
  <c r="J146"/>
  <c r="K146"/>
  <c r="L146"/>
  <c r="M146"/>
  <c r="N146"/>
  <c r="O146"/>
  <c r="P146"/>
  <c r="Q146"/>
  <c r="R146"/>
  <c r="S146"/>
  <c r="T146"/>
  <c r="U146"/>
  <c r="V146"/>
  <c r="W146"/>
  <c r="X146"/>
  <c r="Y146"/>
  <c r="Z146"/>
  <c r="AA146"/>
  <c r="AB146"/>
  <c r="AC146"/>
  <c r="A147"/>
  <c r="B147"/>
  <c r="C147"/>
  <c r="E147"/>
  <c r="D147" s="1"/>
  <c r="F147"/>
  <c r="G147"/>
  <c r="H147"/>
  <c r="I147"/>
  <c r="J147"/>
  <c r="K147"/>
  <c r="L147"/>
  <c r="M147"/>
  <c r="N147"/>
  <c r="O147"/>
  <c r="P147"/>
  <c r="Q147"/>
  <c r="R147"/>
  <c r="S147"/>
  <c r="T147"/>
  <c r="U147"/>
  <c r="V147"/>
  <c r="W147"/>
  <c r="X147"/>
  <c r="Y147"/>
  <c r="Z147"/>
  <c r="AA147"/>
  <c r="AB147"/>
  <c r="AC147"/>
  <c r="A148"/>
  <c r="B148"/>
  <c r="C148"/>
  <c r="E148"/>
  <c r="D148" s="1"/>
  <c r="F148"/>
  <c r="G148"/>
  <c r="H148"/>
  <c r="I148"/>
  <c r="J148"/>
  <c r="K148"/>
  <c r="L148"/>
  <c r="M148"/>
  <c r="N148"/>
  <c r="O148"/>
  <c r="P148"/>
  <c r="Q148"/>
  <c r="R148"/>
  <c r="S148"/>
  <c r="T148"/>
  <c r="U148"/>
  <c r="V148"/>
  <c r="W148"/>
  <c r="X148"/>
  <c r="Y148"/>
  <c r="Z148"/>
  <c r="AA148"/>
  <c r="AB148"/>
  <c r="AC148"/>
  <c r="A149"/>
  <c r="B149"/>
  <c r="C149"/>
  <c r="E149"/>
  <c r="D149" s="1"/>
  <c r="F149"/>
  <c r="G149"/>
  <c r="H149"/>
  <c r="I149"/>
  <c r="J149"/>
  <c r="K149"/>
  <c r="L149"/>
  <c r="M149"/>
  <c r="N149"/>
  <c r="O149"/>
  <c r="P149"/>
  <c r="Q149"/>
  <c r="R149"/>
  <c r="S149"/>
  <c r="T149"/>
  <c r="U149"/>
  <c r="V149"/>
  <c r="W149"/>
  <c r="X149"/>
  <c r="Y149"/>
  <c r="Z149"/>
  <c r="AA149"/>
  <c r="AB149"/>
  <c r="AC149"/>
  <c r="A150"/>
  <c r="B150"/>
  <c r="C150"/>
  <c r="E150"/>
  <c r="D150" s="1"/>
  <c r="F150"/>
  <c r="G150"/>
  <c r="H150"/>
  <c r="I150"/>
  <c r="J150"/>
  <c r="K150"/>
  <c r="L150"/>
  <c r="M150"/>
  <c r="N150"/>
  <c r="O150"/>
  <c r="P150"/>
  <c r="Q150"/>
  <c r="R150"/>
  <c r="S150"/>
  <c r="T150"/>
  <c r="U150"/>
  <c r="V150"/>
  <c r="W150"/>
  <c r="X150"/>
  <c r="Y150"/>
  <c r="Z150"/>
  <c r="AA150"/>
  <c r="AB150"/>
  <c r="AC150"/>
  <c r="A151"/>
  <c r="B151"/>
  <c r="C151"/>
  <c r="D151"/>
  <c r="E151"/>
  <c r="F151"/>
  <c r="G151"/>
  <c r="H151"/>
  <c r="I151"/>
  <c r="J151"/>
  <c r="K151"/>
  <c r="L151"/>
  <c r="M151"/>
  <c r="N151"/>
  <c r="O151"/>
  <c r="P151"/>
  <c r="Q151"/>
  <c r="R151"/>
  <c r="S151"/>
  <c r="T151"/>
  <c r="U151"/>
  <c r="V151"/>
  <c r="W151"/>
  <c r="X151"/>
  <c r="Y151"/>
  <c r="Z151"/>
  <c r="AA151"/>
  <c r="AB151"/>
  <c r="AC151"/>
  <c r="A152"/>
  <c r="B152"/>
  <c r="C152"/>
  <c r="E152"/>
  <c r="D152" s="1"/>
  <c r="F152"/>
  <c r="G152"/>
  <c r="H152"/>
  <c r="I152"/>
  <c r="J152"/>
  <c r="K152"/>
  <c r="L152"/>
  <c r="M152"/>
  <c r="N152"/>
  <c r="O152"/>
  <c r="P152"/>
  <c r="Q152"/>
  <c r="R152"/>
  <c r="S152"/>
  <c r="T152"/>
  <c r="U152"/>
  <c r="V152"/>
  <c r="W152"/>
  <c r="X152"/>
  <c r="Y152"/>
  <c r="Z152"/>
  <c r="AA152"/>
  <c r="AB152"/>
  <c r="AC152"/>
  <c r="A153"/>
  <c r="B153"/>
  <c r="C153"/>
  <c r="E153"/>
  <c r="D153" s="1"/>
  <c r="F153"/>
  <c r="G153"/>
  <c r="H153"/>
  <c r="I153"/>
  <c r="J153"/>
  <c r="K153"/>
  <c r="L153"/>
  <c r="M153"/>
  <c r="N153"/>
  <c r="O153"/>
  <c r="P153"/>
  <c r="Q153"/>
  <c r="R153"/>
  <c r="S153"/>
  <c r="T153"/>
  <c r="U153"/>
  <c r="V153"/>
  <c r="W153"/>
  <c r="X153"/>
  <c r="Y153"/>
  <c r="Z153"/>
  <c r="AA153"/>
  <c r="AB153"/>
  <c r="AC153"/>
  <c r="A154"/>
  <c r="B154"/>
  <c r="C154"/>
  <c r="E154"/>
  <c r="D154" s="1"/>
  <c r="F154"/>
  <c r="G154"/>
  <c r="H154"/>
  <c r="I154"/>
  <c r="J154"/>
  <c r="K154"/>
  <c r="L154"/>
  <c r="M154"/>
  <c r="N154"/>
  <c r="O154"/>
  <c r="P154"/>
  <c r="Q154"/>
  <c r="R154"/>
  <c r="S154"/>
  <c r="T154"/>
  <c r="U154"/>
  <c r="V154"/>
  <c r="W154"/>
  <c r="X154"/>
  <c r="Y154"/>
  <c r="Z154"/>
  <c r="AA154"/>
  <c r="AB154"/>
  <c r="AC154"/>
  <c r="A155"/>
  <c r="B155"/>
  <c r="C155"/>
  <c r="E155"/>
  <c r="D155" s="1"/>
  <c r="F155"/>
  <c r="G155"/>
  <c r="H155"/>
  <c r="I155"/>
  <c r="J155"/>
  <c r="K155"/>
  <c r="L155"/>
  <c r="M155"/>
  <c r="N155"/>
  <c r="O155"/>
  <c r="P155"/>
  <c r="Q155"/>
  <c r="R155"/>
  <c r="S155"/>
  <c r="T155"/>
  <c r="U155"/>
  <c r="V155"/>
  <c r="W155"/>
  <c r="X155"/>
  <c r="Y155"/>
  <c r="Z155"/>
  <c r="AA155"/>
  <c r="AB155"/>
  <c r="AC155"/>
  <c r="A156"/>
  <c r="B156"/>
  <c r="C156"/>
  <c r="E156"/>
  <c r="D156" s="1"/>
  <c r="F156"/>
  <c r="G156"/>
  <c r="H156"/>
  <c r="I156"/>
  <c r="J156"/>
  <c r="K156"/>
  <c r="L156"/>
  <c r="M156"/>
  <c r="N156"/>
  <c r="O156"/>
  <c r="P156"/>
  <c r="Q156"/>
  <c r="R156"/>
  <c r="S156"/>
  <c r="T156"/>
  <c r="U156"/>
  <c r="V156"/>
  <c r="W156"/>
  <c r="X156"/>
  <c r="Y156"/>
  <c r="Z156"/>
  <c r="AA156"/>
  <c r="AB156"/>
  <c r="AC156"/>
  <c r="A157"/>
  <c r="B157"/>
  <c r="C157"/>
  <c r="E157"/>
  <c r="D157" s="1"/>
  <c r="F157"/>
  <c r="G157"/>
  <c r="H157"/>
  <c r="I157"/>
  <c r="J157"/>
  <c r="K157"/>
  <c r="L157"/>
  <c r="M157"/>
  <c r="N157"/>
  <c r="O157"/>
  <c r="P157"/>
  <c r="Q157"/>
  <c r="R157"/>
  <c r="S157"/>
  <c r="T157"/>
  <c r="U157"/>
  <c r="V157"/>
  <c r="W157"/>
  <c r="X157"/>
  <c r="Y157"/>
  <c r="Z157"/>
  <c r="AA157"/>
  <c r="AB157"/>
  <c r="AC157"/>
  <c r="A158"/>
  <c r="B158"/>
  <c r="C158"/>
  <c r="E158"/>
  <c r="D158" s="1"/>
  <c r="F158"/>
  <c r="G158"/>
  <c r="H158"/>
  <c r="I158"/>
  <c r="J158"/>
  <c r="K158"/>
  <c r="L158"/>
  <c r="M158"/>
  <c r="N158"/>
  <c r="O158"/>
  <c r="P158"/>
  <c r="Q158"/>
  <c r="R158"/>
  <c r="S158"/>
  <c r="T158"/>
  <c r="U158"/>
  <c r="V158"/>
  <c r="W158"/>
  <c r="X158"/>
  <c r="Y158"/>
  <c r="Z158"/>
  <c r="AA158"/>
  <c r="AB158"/>
  <c r="AC158"/>
  <c r="A159"/>
  <c r="B159"/>
  <c r="C159"/>
  <c r="D159"/>
  <c r="E159"/>
  <c r="F159"/>
  <c r="G159"/>
  <c r="H159"/>
  <c r="I159"/>
  <c r="J159"/>
  <c r="K159"/>
  <c r="L159"/>
  <c r="M159"/>
  <c r="N159"/>
  <c r="O159"/>
  <c r="P159"/>
  <c r="Q159"/>
  <c r="R159"/>
  <c r="S159"/>
  <c r="T159"/>
  <c r="U159"/>
  <c r="V159"/>
  <c r="W159"/>
  <c r="X159"/>
  <c r="Y159"/>
  <c r="Z159"/>
  <c r="AA159"/>
  <c r="AB159"/>
  <c r="AC159"/>
  <c r="A160"/>
  <c r="B160"/>
  <c r="C160"/>
  <c r="E160"/>
  <c r="D160" s="1"/>
  <c r="F160"/>
  <c r="G160"/>
  <c r="H160"/>
  <c r="I160"/>
  <c r="J160"/>
  <c r="K160"/>
  <c r="L160"/>
  <c r="M160"/>
  <c r="N160"/>
  <c r="O160"/>
  <c r="P160"/>
  <c r="Q160"/>
  <c r="R160"/>
  <c r="S160"/>
  <c r="T160"/>
  <c r="U160"/>
  <c r="V160"/>
  <c r="W160"/>
  <c r="X160"/>
  <c r="Y160"/>
  <c r="Z160"/>
  <c r="AA160"/>
  <c r="AB160"/>
  <c r="AC160"/>
  <c r="A161"/>
  <c r="B161"/>
  <c r="C161"/>
  <c r="E161"/>
  <c r="D161" s="1"/>
  <c r="F161"/>
  <c r="G161"/>
  <c r="H161"/>
  <c r="I161"/>
  <c r="J161"/>
  <c r="K161"/>
  <c r="L161"/>
  <c r="M161"/>
  <c r="N161"/>
  <c r="O161"/>
  <c r="P161"/>
  <c r="Q161"/>
  <c r="R161"/>
  <c r="S161"/>
  <c r="T161"/>
  <c r="U161"/>
  <c r="V161"/>
  <c r="W161"/>
  <c r="X161"/>
  <c r="Y161"/>
  <c r="Z161"/>
  <c r="AA161"/>
  <c r="AB161"/>
  <c r="AC161"/>
  <c r="A162"/>
  <c r="B162"/>
  <c r="C162"/>
  <c r="E162"/>
  <c r="D162" s="1"/>
  <c r="F162"/>
  <c r="G162"/>
  <c r="H162"/>
  <c r="I162"/>
  <c r="J162"/>
  <c r="K162"/>
  <c r="L162"/>
  <c r="M162"/>
  <c r="N162"/>
  <c r="O162"/>
  <c r="P162"/>
  <c r="Q162"/>
  <c r="R162"/>
  <c r="S162"/>
  <c r="T162"/>
  <c r="U162"/>
  <c r="V162"/>
  <c r="W162"/>
  <c r="X162"/>
  <c r="Y162"/>
  <c r="Z162"/>
  <c r="AA162"/>
  <c r="AB162"/>
  <c r="AC162"/>
  <c r="A163"/>
  <c r="B163"/>
  <c r="C163"/>
  <c r="E163"/>
  <c r="D163" s="1"/>
  <c r="F163"/>
  <c r="G163"/>
  <c r="H163"/>
  <c r="I163"/>
  <c r="J163"/>
  <c r="K163"/>
  <c r="L163"/>
  <c r="M163"/>
  <c r="N163"/>
  <c r="O163"/>
  <c r="P163"/>
  <c r="Q163"/>
  <c r="R163"/>
  <c r="S163"/>
  <c r="T163"/>
  <c r="U163"/>
  <c r="V163"/>
  <c r="W163"/>
  <c r="X163"/>
  <c r="Y163"/>
  <c r="Z163"/>
  <c r="AA163"/>
  <c r="AB163"/>
  <c r="AC163"/>
  <c r="A164"/>
  <c r="B164"/>
  <c r="C164"/>
  <c r="E164"/>
  <c r="D164" s="1"/>
  <c r="F164"/>
  <c r="G164"/>
  <c r="H164"/>
  <c r="I164"/>
  <c r="J164"/>
  <c r="K164"/>
  <c r="L164"/>
  <c r="M164"/>
  <c r="N164"/>
  <c r="O164"/>
  <c r="P164"/>
  <c r="Q164"/>
  <c r="R164"/>
  <c r="S164"/>
  <c r="T164"/>
  <c r="U164"/>
  <c r="V164"/>
  <c r="W164"/>
  <c r="X164"/>
  <c r="Y164"/>
  <c r="Z164"/>
  <c r="AA164"/>
  <c r="AB164"/>
  <c r="AC164"/>
  <c r="A165"/>
  <c r="B165"/>
  <c r="C165"/>
  <c r="E165"/>
  <c r="D165" s="1"/>
  <c r="F165"/>
  <c r="G165"/>
  <c r="H165"/>
  <c r="I165"/>
  <c r="J165"/>
  <c r="K165"/>
  <c r="L165"/>
  <c r="M165"/>
  <c r="N165"/>
  <c r="O165"/>
  <c r="P165"/>
  <c r="Q165"/>
  <c r="R165"/>
  <c r="S165"/>
  <c r="T165"/>
  <c r="U165"/>
  <c r="V165"/>
  <c r="W165"/>
  <c r="X165"/>
  <c r="Y165"/>
  <c r="Z165"/>
  <c r="AA165"/>
  <c r="AB165"/>
  <c r="AC165"/>
  <c r="A166"/>
  <c r="B166"/>
  <c r="C166"/>
  <c r="E166"/>
  <c r="D166" s="1"/>
  <c r="F166"/>
  <c r="G166"/>
  <c r="H166"/>
  <c r="I166"/>
  <c r="J166"/>
  <c r="K166"/>
  <c r="L166"/>
  <c r="M166"/>
  <c r="N166"/>
  <c r="O166"/>
  <c r="P166"/>
  <c r="Q166"/>
  <c r="R166"/>
  <c r="S166"/>
  <c r="T166"/>
  <c r="U166"/>
  <c r="V166"/>
  <c r="W166"/>
  <c r="X166"/>
  <c r="Y166"/>
  <c r="Z166"/>
  <c r="AA166"/>
  <c r="AB166"/>
  <c r="AC166"/>
  <c r="A167"/>
  <c r="B167"/>
  <c r="C167"/>
  <c r="D167"/>
  <c r="E167"/>
  <c r="F167"/>
  <c r="G167"/>
  <c r="H167"/>
  <c r="I167"/>
  <c r="J167"/>
  <c r="K167"/>
  <c r="L167"/>
  <c r="M167"/>
  <c r="N167"/>
  <c r="O167"/>
  <c r="P167"/>
  <c r="Q167"/>
  <c r="R167"/>
  <c r="S167"/>
  <c r="T167"/>
  <c r="U167"/>
  <c r="V167"/>
  <c r="W167"/>
  <c r="X167"/>
  <c r="Y167"/>
  <c r="Z167"/>
  <c r="AA167"/>
  <c r="AB167"/>
  <c r="AC167"/>
  <c r="A168"/>
  <c r="B168"/>
  <c r="C168"/>
  <c r="E168"/>
  <c r="D168" s="1"/>
  <c r="F168"/>
  <c r="G168"/>
  <c r="H168"/>
  <c r="I168"/>
  <c r="J168"/>
  <c r="K168"/>
  <c r="L168"/>
  <c r="M168"/>
  <c r="N168"/>
  <c r="O168"/>
  <c r="P168"/>
  <c r="Q168"/>
  <c r="R168"/>
  <c r="S168"/>
  <c r="T168"/>
  <c r="U168"/>
  <c r="V168"/>
  <c r="W168"/>
  <c r="X168"/>
  <c r="Y168"/>
  <c r="Z168"/>
  <c r="AA168"/>
  <c r="AB168"/>
  <c r="AC168"/>
  <c r="A169"/>
  <c r="B169"/>
  <c r="C169"/>
  <c r="E169"/>
  <c r="D169" s="1"/>
  <c r="F169"/>
  <c r="G169"/>
  <c r="H169"/>
  <c r="I169"/>
  <c r="J169"/>
  <c r="K169"/>
  <c r="L169"/>
  <c r="M169"/>
  <c r="N169"/>
  <c r="O169"/>
  <c r="P169"/>
  <c r="Q169"/>
  <c r="R169"/>
  <c r="S169"/>
  <c r="T169"/>
  <c r="U169"/>
  <c r="V169"/>
  <c r="W169"/>
  <c r="X169"/>
  <c r="Y169"/>
  <c r="Z169"/>
  <c r="AA169"/>
  <c r="AB169"/>
  <c r="AC169"/>
  <c r="A170"/>
  <c r="B170"/>
  <c r="C170"/>
  <c r="E170"/>
  <c r="D170" s="1"/>
  <c r="F170"/>
  <c r="G170"/>
  <c r="H170"/>
  <c r="I170"/>
  <c r="J170"/>
  <c r="K170"/>
  <c r="L170"/>
  <c r="M170"/>
  <c r="N170"/>
  <c r="O170"/>
  <c r="P170"/>
  <c r="Q170"/>
  <c r="R170"/>
  <c r="S170"/>
  <c r="T170"/>
  <c r="U170"/>
  <c r="V170"/>
  <c r="W170"/>
  <c r="X170"/>
  <c r="Y170"/>
  <c r="Z170"/>
  <c r="AA170"/>
  <c r="AB170"/>
  <c r="AC170"/>
  <c r="A171"/>
  <c r="B171"/>
  <c r="C171"/>
  <c r="D171"/>
  <c r="E171"/>
  <c r="F171"/>
  <c r="G171"/>
  <c r="H171"/>
  <c r="I171"/>
  <c r="J171"/>
  <c r="K171"/>
  <c r="L171"/>
  <c r="M171"/>
  <c r="N171"/>
  <c r="O171"/>
  <c r="P171"/>
  <c r="Q171"/>
  <c r="R171"/>
  <c r="S171"/>
  <c r="T171"/>
  <c r="U171"/>
  <c r="V171"/>
  <c r="W171"/>
  <c r="X171"/>
  <c r="Y171"/>
  <c r="Z171"/>
  <c r="AA171"/>
  <c r="AB171"/>
  <c r="AC171"/>
  <c r="A172"/>
  <c r="B172"/>
  <c r="C172"/>
  <c r="E172"/>
  <c r="D172" s="1"/>
  <c r="F172"/>
  <c r="G172"/>
  <c r="H172"/>
  <c r="I172"/>
  <c r="J172"/>
  <c r="K172"/>
  <c r="L172"/>
  <c r="M172"/>
  <c r="N172"/>
  <c r="O172"/>
  <c r="P172"/>
  <c r="Q172"/>
  <c r="R172"/>
  <c r="S172"/>
  <c r="T172"/>
  <c r="U172"/>
  <c r="V172"/>
  <c r="W172"/>
  <c r="X172"/>
  <c r="Y172"/>
  <c r="Z172"/>
  <c r="AA172"/>
  <c r="AB172"/>
  <c r="AC172"/>
  <c r="A173"/>
  <c r="B173"/>
  <c r="C173"/>
  <c r="E173"/>
  <c r="D173" s="1"/>
  <c r="F173"/>
  <c r="G173"/>
  <c r="H173"/>
  <c r="I173"/>
  <c r="J173"/>
  <c r="K173"/>
  <c r="L173"/>
  <c r="M173"/>
  <c r="N173"/>
  <c r="O173"/>
  <c r="P173"/>
  <c r="Q173"/>
  <c r="R173"/>
  <c r="S173"/>
  <c r="T173"/>
  <c r="U173"/>
  <c r="V173"/>
  <c r="W173"/>
  <c r="X173"/>
  <c r="Y173"/>
  <c r="Z173"/>
  <c r="AA173"/>
  <c r="AB173"/>
  <c r="AC173"/>
  <c r="A174"/>
  <c r="B174"/>
  <c r="C174"/>
  <c r="E174"/>
  <c r="D174" s="1"/>
  <c r="F174"/>
  <c r="G174"/>
  <c r="H174"/>
  <c r="I174"/>
  <c r="J174"/>
  <c r="K174"/>
  <c r="L174"/>
  <c r="M174"/>
  <c r="N174"/>
  <c r="O174"/>
  <c r="P174"/>
  <c r="Q174"/>
  <c r="R174"/>
  <c r="S174"/>
  <c r="T174"/>
  <c r="U174"/>
  <c r="V174"/>
  <c r="W174"/>
  <c r="X174"/>
  <c r="Y174"/>
  <c r="Z174"/>
  <c r="AA174"/>
  <c r="AB174"/>
  <c r="AC174"/>
  <c r="A175"/>
  <c r="B175"/>
  <c r="C175"/>
  <c r="D175"/>
  <c r="E175"/>
  <c r="F175"/>
  <c r="G175"/>
  <c r="H175"/>
  <c r="I175"/>
  <c r="J175"/>
  <c r="K175"/>
  <c r="L175"/>
  <c r="M175"/>
  <c r="N175"/>
  <c r="O175"/>
  <c r="P175"/>
  <c r="Q175"/>
  <c r="R175"/>
  <c r="S175"/>
  <c r="T175"/>
  <c r="U175"/>
  <c r="V175"/>
  <c r="W175"/>
  <c r="X175"/>
  <c r="Y175"/>
  <c r="Z175"/>
  <c r="AA175"/>
  <c r="AB175"/>
  <c r="AC175"/>
  <c r="A176"/>
  <c r="B176"/>
  <c r="C176"/>
  <c r="E176"/>
  <c r="D176" s="1"/>
  <c r="F176"/>
  <c r="G176"/>
  <c r="H176"/>
  <c r="I176"/>
  <c r="J176"/>
  <c r="K176"/>
  <c r="L176"/>
  <c r="M176"/>
  <c r="N176"/>
  <c r="O176"/>
  <c r="P176"/>
  <c r="Q176"/>
  <c r="R176"/>
  <c r="S176"/>
  <c r="T176"/>
  <c r="U176"/>
  <c r="V176"/>
  <c r="W176"/>
  <c r="X176"/>
  <c r="Y176"/>
  <c r="Z176"/>
  <c r="AA176"/>
  <c r="AB176"/>
  <c r="AC176"/>
  <c r="A177"/>
  <c r="B177"/>
  <c r="C177"/>
  <c r="E177"/>
  <c r="D177" s="1"/>
  <c r="F177"/>
  <c r="G177"/>
  <c r="H177"/>
  <c r="I177"/>
  <c r="J177"/>
  <c r="K177"/>
  <c r="L177"/>
  <c r="M177"/>
  <c r="N177"/>
  <c r="O177"/>
  <c r="P177"/>
  <c r="Q177"/>
  <c r="R177"/>
  <c r="S177"/>
  <c r="T177"/>
  <c r="U177"/>
  <c r="V177"/>
  <c r="W177"/>
  <c r="X177"/>
  <c r="Y177"/>
  <c r="Z177"/>
  <c r="AA177"/>
  <c r="AB177"/>
  <c r="AC177"/>
  <c r="A178"/>
  <c r="B178"/>
  <c r="C178"/>
  <c r="E178"/>
  <c r="D178" s="1"/>
  <c r="F178"/>
  <c r="G178"/>
  <c r="H178"/>
  <c r="I178"/>
  <c r="J178"/>
  <c r="K178"/>
  <c r="L178"/>
  <c r="M178"/>
  <c r="N178"/>
  <c r="O178"/>
  <c r="P178"/>
  <c r="Q178"/>
  <c r="R178"/>
  <c r="S178"/>
  <c r="T178"/>
  <c r="U178"/>
  <c r="V178"/>
  <c r="W178"/>
  <c r="X178"/>
  <c r="Y178"/>
  <c r="Z178"/>
  <c r="AA178"/>
  <c r="AB178"/>
  <c r="AC178"/>
  <c r="A179"/>
  <c r="B179"/>
  <c r="C179"/>
  <c r="D179"/>
  <c r="E179"/>
  <c r="F179"/>
  <c r="G179"/>
  <c r="H179"/>
  <c r="I179"/>
  <c r="J179"/>
  <c r="K179"/>
  <c r="L179"/>
  <c r="M179"/>
  <c r="N179"/>
  <c r="O179"/>
  <c r="P179"/>
  <c r="Q179"/>
  <c r="R179"/>
  <c r="S179"/>
  <c r="T179"/>
  <c r="U179"/>
  <c r="V179"/>
  <c r="W179"/>
  <c r="X179"/>
  <c r="Y179"/>
  <c r="Z179"/>
  <c r="AA179"/>
  <c r="AB179"/>
  <c r="AC179"/>
  <c r="A180"/>
  <c r="B180"/>
  <c r="C180"/>
  <c r="E180"/>
  <c r="D180" s="1"/>
  <c r="F180"/>
  <c r="G180"/>
  <c r="H180"/>
  <c r="I180"/>
  <c r="J180"/>
  <c r="K180"/>
  <c r="L180"/>
  <c r="M180"/>
  <c r="N180"/>
  <c r="O180"/>
  <c r="P180"/>
  <c r="Q180"/>
  <c r="R180"/>
  <c r="S180"/>
  <c r="T180"/>
  <c r="U180"/>
  <c r="V180"/>
  <c r="W180"/>
  <c r="X180"/>
  <c r="Y180"/>
  <c r="Z180"/>
  <c r="AA180"/>
  <c r="AB180"/>
  <c r="AC180"/>
  <c r="A181"/>
  <c r="B181"/>
  <c r="C181"/>
  <c r="E181"/>
  <c r="D181" s="1"/>
  <c r="F181"/>
  <c r="G181"/>
  <c r="H181"/>
  <c r="I181"/>
  <c r="J181"/>
  <c r="K181"/>
  <c r="L181"/>
  <c r="M181"/>
  <c r="N181"/>
  <c r="O181"/>
  <c r="P181"/>
  <c r="Q181"/>
  <c r="R181"/>
  <c r="S181"/>
  <c r="T181"/>
  <c r="U181"/>
  <c r="V181"/>
  <c r="W181"/>
  <c r="X181"/>
  <c r="Y181"/>
  <c r="Z181"/>
  <c r="AA181"/>
  <c r="AB181"/>
  <c r="AC181"/>
  <c r="A182"/>
  <c r="B182"/>
  <c r="C182"/>
  <c r="E182"/>
  <c r="D182" s="1"/>
  <c r="F182"/>
  <c r="G182"/>
  <c r="H182"/>
  <c r="I182"/>
  <c r="J182"/>
  <c r="K182"/>
  <c r="L182"/>
  <c r="M182"/>
  <c r="N182"/>
  <c r="O182"/>
  <c r="P182"/>
  <c r="Q182"/>
  <c r="R182"/>
  <c r="S182"/>
  <c r="T182"/>
  <c r="U182"/>
  <c r="V182"/>
  <c r="W182"/>
  <c r="X182"/>
  <c r="Y182"/>
  <c r="Z182"/>
  <c r="AA182"/>
  <c r="AB182"/>
  <c r="AC182"/>
  <c r="A183"/>
  <c r="B183"/>
  <c r="C183"/>
  <c r="D183"/>
  <c r="E183"/>
  <c r="F183"/>
  <c r="G183"/>
  <c r="H183"/>
  <c r="I183"/>
  <c r="J183"/>
  <c r="K183"/>
  <c r="L183"/>
  <c r="M183"/>
  <c r="N183"/>
  <c r="O183"/>
  <c r="P183"/>
  <c r="Q183"/>
  <c r="R183"/>
  <c r="S183"/>
  <c r="T183"/>
  <c r="U183"/>
  <c r="V183"/>
  <c r="W183"/>
  <c r="X183"/>
  <c r="Y183"/>
  <c r="Z183"/>
  <c r="AA183"/>
  <c r="AB183"/>
  <c r="AC183"/>
  <c r="A184"/>
  <c r="B184"/>
  <c r="C184"/>
  <c r="E184"/>
  <c r="D184" s="1"/>
  <c r="F184"/>
  <c r="G184"/>
  <c r="H184"/>
  <c r="I184"/>
  <c r="J184"/>
  <c r="K184"/>
  <c r="L184"/>
  <c r="M184"/>
  <c r="N184"/>
  <c r="O184"/>
  <c r="P184"/>
  <c r="Q184"/>
  <c r="R184"/>
  <c r="S184"/>
  <c r="T184"/>
  <c r="U184"/>
  <c r="V184"/>
  <c r="W184"/>
  <c r="X184"/>
  <c r="Y184"/>
  <c r="Z184"/>
  <c r="AA184"/>
  <c r="AB184"/>
  <c r="AC184"/>
  <c r="A185"/>
  <c r="B185"/>
  <c r="C185"/>
  <c r="E185"/>
  <c r="D185" s="1"/>
  <c r="F185"/>
  <c r="G185"/>
  <c r="H185"/>
  <c r="I185"/>
  <c r="J185"/>
  <c r="K185"/>
  <c r="L185"/>
  <c r="M185"/>
  <c r="N185"/>
  <c r="O185"/>
  <c r="P185"/>
  <c r="Q185"/>
  <c r="R185"/>
  <c r="S185"/>
  <c r="T185"/>
  <c r="U185"/>
  <c r="V185"/>
  <c r="W185"/>
  <c r="X185"/>
  <c r="Y185"/>
  <c r="Z185"/>
  <c r="AA185"/>
  <c r="AB185"/>
  <c r="AC185"/>
  <c r="A186"/>
  <c r="B186"/>
  <c r="C186"/>
  <c r="E186"/>
  <c r="D186" s="1"/>
  <c r="F186"/>
  <c r="G186"/>
  <c r="H186"/>
  <c r="I186"/>
  <c r="J186"/>
  <c r="K186"/>
  <c r="L186"/>
  <c r="M186"/>
  <c r="N186"/>
  <c r="O186"/>
  <c r="P186"/>
  <c r="Q186"/>
  <c r="R186"/>
  <c r="S186"/>
  <c r="T186"/>
  <c r="U186"/>
  <c r="V186"/>
  <c r="W186"/>
  <c r="X186"/>
  <c r="Y186"/>
  <c r="Z186"/>
  <c r="AA186"/>
  <c r="AB186"/>
  <c r="AC186"/>
  <c r="A187"/>
  <c r="B187"/>
  <c r="C187"/>
  <c r="D187"/>
  <c r="E187"/>
  <c r="F187"/>
  <c r="G187"/>
  <c r="H187"/>
  <c r="I187"/>
  <c r="J187"/>
  <c r="K187"/>
  <c r="L187"/>
  <c r="M187"/>
  <c r="N187"/>
  <c r="O187"/>
  <c r="P187"/>
  <c r="Q187"/>
  <c r="R187"/>
  <c r="S187"/>
  <c r="T187"/>
  <c r="U187"/>
  <c r="V187"/>
  <c r="W187"/>
  <c r="X187"/>
  <c r="Y187"/>
  <c r="Z187"/>
  <c r="AA187"/>
  <c r="AB187"/>
  <c r="AC187"/>
  <c r="A188"/>
  <c r="B188"/>
  <c r="C188"/>
  <c r="E188"/>
  <c r="D188" s="1"/>
  <c r="F188"/>
  <c r="G188"/>
  <c r="H188"/>
  <c r="I188"/>
  <c r="J188"/>
  <c r="K188"/>
  <c r="L188"/>
  <c r="M188"/>
  <c r="N188"/>
  <c r="O188"/>
  <c r="P188"/>
  <c r="Q188"/>
  <c r="R188"/>
  <c r="S188"/>
  <c r="T188"/>
  <c r="U188"/>
  <c r="V188"/>
  <c r="W188"/>
  <c r="X188"/>
  <c r="Y188"/>
  <c r="Z188"/>
  <c r="AA188"/>
  <c r="AB188"/>
  <c r="AC188"/>
  <c r="A189"/>
  <c r="B189"/>
  <c r="C189"/>
  <c r="E189"/>
  <c r="D189" s="1"/>
  <c r="F189"/>
  <c r="G189"/>
  <c r="H189"/>
  <c r="I189"/>
  <c r="J189"/>
  <c r="K189"/>
  <c r="L189"/>
  <c r="M189"/>
  <c r="N189"/>
  <c r="O189"/>
  <c r="P189"/>
  <c r="Q189"/>
  <c r="R189"/>
  <c r="S189"/>
  <c r="T189"/>
  <c r="U189"/>
  <c r="V189"/>
  <c r="W189"/>
  <c r="X189"/>
  <c r="Y189"/>
  <c r="Z189"/>
  <c r="AA189"/>
  <c r="AB189"/>
  <c r="AC189"/>
  <c r="A190"/>
  <c r="B190"/>
  <c r="C190"/>
  <c r="E190"/>
  <c r="D190" s="1"/>
  <c r="F190"/>
  <c r="G190"/>
  <c r="H190"/>
  <c r="I190"/>
  <c r="J190"/>
  <c r="K190"/>
  <c r="L190"/>
  <c r="M190"/>
  <c r="N190"/>
  <c r="O190"/>
  <c r="P190"/>
  <c r="Q190"/>
  <c r="R190"/>
  <c r="S190"/>
  <c r="T190"/>
  <c r="U190"/>
  <c r="V190"/>
  <c r="W190"/>
  <c r="X190"/>
  <c r="Y190"/>
  <c r="Z190"/>
  <c r="AA190"/>
  <c r="AB190"/>
  <c r="AC190"/>
  <c r="A191"/>
  <c r="B191"/>
  <c r="C191"/>
  <c r="D191"/>
  <c r="E191"/>
  <c r="F191"/>
  <c r="G191"/>
  <c r="H191"/>
  <c r="I191"/>
  <c r="J191"/>
  <c r="K191"/>
  <c r="L191"/>
  <c r="M191"/>
  <c r="N191"/>
  <c r="O191"/>
  <c r="P191"/>
  <c r="Q191"/>
  <c r="R191"/>
  <c r="S191"/>
  <c r="T191"/>
  <c r="U191"/>
  <c r="V191"/>
  <c r="W191"/>
  <c r="X191"/>
  <c r="Y191"/>
  <c r="Z191"/>
  <c r="AA191"/>
  <c r="AB191"/>
  <c r="AC191"/>
  <c r="A192"/>
  <c r="B192"/>
  <c r="C192"/>
  <c r="E192"/>
  <c r="D192" s="1"/>
  <c r="F192"/>
  <c r="G192"/>
  <c r="H192"/>
  <c r="I192"/>
  <c r="J192"/>
  <c r="K192"/>
  <c r="L192"/>
  <c r="M192"/>
  <c r="N192"/>
  <c r="O192"/>
  <c r="P192"/>
  <c r="Q192"/>
  <c r="R192"/>
  <c r="S192"/>
  <c r="T192"/>
  <c r="U192"/>
  <c r="V192"/>
  <c r="W192"/>
  <c r="X192"/>
  <c r="Y192"/>
  <c r="Z192"/>
  <c r="AA192"/>
  <c r="AB192"/>
  <c r="AC192"/>
  <c r="A193"/>
  <c r="B193"/>
  <c r="C193"/>
  <c r="E193"/>
  <c r="D193" s="1"/>
  <c r="F193"/>
  <c r="G193"/>
  <c r="H193"/>
  <c r="I193"/>
  <c r="J193"/>
  <c r="K193"/>
  <c r="L193"/>
  <c r="M193"/>
  <c r="N193"/>
  <c r="O193"/>
  <c r="P193"/>
  <c r="Q193"/>
  <c r="R193"/>
  <c r="S193"/>
  <c r="T193"/>
  <c r="U193"/>
  <c r="V193"/>
  <c r="W193"/>
  <c r="X193"/>
  <c r="Y193"/>
  <c r="Z193"/>
  <c r="AA193"/>
  <c r="AB193"/>
  <c r="AC193"/>
  <c r="A194"/>
  <c r="B194"/>
  <c r="C194"/>
  <c r="E194"/>
  <c r="D194" s="1"/>
  <c r="F194"/>
  <c r="G194"/>
  <c r="H194"/>
  <c r="I194"/>
  <c r="J194"/>
  <c r="K194"/>
  <c r="L194"/>
  <c r="M194"/>
  <c r="N194"/>
  <c r="O194"/>
  <c r="P194"/>
  <c r="Q194"/>
  <c r="R194"/>
  <c r="S194"/>
  <c r="T194"/>
  <c r="U194"/>
  <c r="V194"/>
  <c r="W194"/>
  <c r="X194"/>
  <c r="Y194"/>
  <c r="Z194"/>
  <c r="AA194"/>
  <c r="AB194"/>
  <c r="AC194"/>
  <c r="A195"/>
  <c r="B195"/>
  <c r="C195"/>
  <c r="E195"/>
  <c r="D195" s="1"/>
  <c r="F195"/>
  <c r="G195"/>
  <c r="H195"/>
  <c r="I195"/>
  <c r="J195"/>
  <c r="K195"/>
  <c r="L195"/>
  <c r="M195"/>
  <c r="N195"/>
  <c r="O195"/>
  <c r="P195"/>
  <c r="Q195"/>
  <c r="R195"/>
  <c r="S195"/>
  <c r="T195"/>
  <c r="U195"/>
  <c r="V195"/>
  <c r="W195"/>
  <c r="X195"/>
  <c r="Y195"/>
  <c r="Z195"/>
  <c r="AA195"/>
  <c r="AB195"/>
  <c r="AC195"/>
  <c r="A196"/>
  <c r="B196"/>
  <c r="C196"/>
  <c r="E196"/>
  <c r="D196" s="1"/>
  <c r="F196"/>
  <c r="G196"/>
  <c r="H196"/>
  <c r="I196"/>
  <c r="J196"/>
  <c r="K196"/>
  <c r="L196"/>
  <c r="M196"/>
  <c r="N196"/>
  <c r="O196"/>
  <c r="P196"/>
  <c r="Q196"/>
  <c r="R196"/>
  <c r="S196"/>
  <c r="T196"/>
  <c r="U196"/>
  <c r="V196"/>
  <c r="W196"/>
  <c r="X196"/>
  <c r="Y196"/>
  <c r="Z196"/>
  <c r="AA196"/>
  <c r="AB196"/>
  <c r="AC196"/>
  <c r="A197"/>
  <c r="B197"/>
  <c r="C197"/>
  <c r="E197"/>
  <c r="D197" s="1"/>
  <c r="F197"/>
  <c r="G197"/>
  <c r="H197"/>
  <c r="I197"/>
  <c r="J197"/>
  <c r="K197"/>
  <c r="L197"/>
  <c r="M197"/>
  <c r="N197"/>
  <c r="O197"/>
  <c r="P197"/>
  <c r="Q197"/>
  <c r="R197"/>
  <c r="S197"/>
  <c r="T197"/>
  <c r="U197"/>
  <c r="V197"/>
  <c r="W197"/>
  <c r="X197"/>
  <c r="Y197"/>
  <c r="Z197"/>
  <c r="AA197"/>
  <c r="AB197"/>
  <c r="AC197"/>
  <c r="A198"/>
  <c r="B198"/>
  <c r="C198"/>
  <c r="E198"/>
  <c r="D198" s="1"/>
  <c r="F198"/>
  <c r="G198"/>
  <c r="H198"/>
  <c r="I198"/>
  <c r="J198"/>
  <c r="K198"/>
  <c r="L198"/>
  <c r="M198"/>
  <c r="N198"/>
  <c r="O198"/>
  <c r="P198"/>
  <c r="Q198"/>
  <c r="R198"/>
  <c r="S198"/>
  <c r="T198"/>
  <c r="U198"/>
  <c r="V198"/>
  <c r="W198"/>
  <c r="X198"/>
  <c r="Y198"/>
  <c r="Z198"/>
  <c r="AA198"/>
  <c r="AB198"/>
  <c r="AC198"/>
  <c r="A199"/>
  <c r="B199"/>
  <c r="C199"/>
  <c r="D199"/>
  <c r="E199"/>
  <c r="F199"/>
  <c r="G199"/>
  <c r="H199"/>
  <c r="I199"/>
  <c r="J199"/>
  <c r="K199"/>
  <c r="L199"/>
  <c r="M199"/>
  <c r="N199"/>
  <c r="O199"/>
  <c r="P199"/>
  <c r="Q199"/>
  <c r="R199"/>
  <c r="S199"/>
  <c r="T199"/>
  <c r="U199"/>
  <c r="V199"/>
  <c r="W199"/>
  <c r="X199"/>
  <c r="Y199"/>
  <c r="Z199"/>
  <c r="AA199"/>
  <c r="AB199"/>
  <c r="AC199"/>
  <c r="A200"/>
  <c r="B200"/>
  <c r="C200"/>
  <c r="E200"/>
  <c r="D200" s="1"/>
  <c r="F200"/>
  <c r="G200"/>
  <c r="H200"/>
  <c r="I200"/>
  <c r="J200"/>
  <c r="K200"/>
  <c r="L200"/>
  <c r="M200"/>
  <c r="N200"/>
  <c r="O200"/>
  <c r="P200"/>
  <c r="Q200"/>
  <c r="R200"/>
  <c r="S200"/>
  <c r="T200"/>
  <c r="U200"/>
  <c r="V200"/>
  <c r="W200"/>
  <c r="X200"/>
  <c r="Y200"/>
  <c r="Z200"/>
  <c r="AA200"/>
  <c r="AB200"/>
  <c r="AC200"/>
  <c r="A201"/>
  <c r="B201"/>
  <c r="C201"/>
  <c r="D201"/>
  <c r="E201"/>
  <c r="F201"/>
  <c r="G201"/>
  <c r="H201"/>
  <c r="I201"/>
  <c r="J201"/>
  <c r="K201"/>
  <c r="L201"/>
  <c r="M201"/>
  <c r="N201"/>
  <c r="O201"/>
  <c r="P201"/>
  <c r="Q201"/>
  <c r="R201"/>
  <c r="S201"/>
  <c r="T201"/>
  <c r="U201"/>
  <c r="V201"/>
  <c r="W201"/>
  <c r="X201"/>
  <c r="Y201"/>
  <c r="Z201"/>
  <c r="AA201"/>
  <c r="AB201"/>
  <c r="AC201"/>
  <c r="A202"/>
  <c r="B202"/>
  <c r="C202"/>
  <c r="E202"/>
  <c r="D202" s="1"/>
  <c r="F202"/>
  <c r="G202"/>
  <c r="H202"/>
  <c r="I202"/>
  <c r="J202"/>
  <c r="K202"/>
  <c r="L202"/>
  <c r="M202"/>
  <c r="N202"/>
  <c r="O202"/>
  <c r="P202"/>
  <c r="Q202"/>
  <c r="R202"/>
  <c r="S202"/>
  <c r="T202"/>
  <c r="U202"/>
  <c r="V202"/>
  <c r="W202"/>
  <c r="X202"/>
  <c r="Y202"/>
  <c r="Z202"/>
  <c r="AA202"/>
  <c r="AB202"/>
  <c r="AC202"/>
  <c r="A203"/>
  <c r="B203"/>
  <c r="C203"/>
  <c r="E203"/>
  <c r="D203" s="1"/>
  <c r="F203"/>
  <c r="G203"/>
  <c r="H203"/>
  <c r="I203"/>
  <c r="J203"/>
  <c r="K203"/>
  <c r="L203"/>
  <c r="M203"/>
  <c r="N203"/>
  <c r="O203"/>
  <c r="P203"/>
  <c r="Q203"/>
  <c r="R203"/>
  <c r="S203"/>
  <c r="T203"/>
  <c r="U203"/>
  <c r="V203"/>
  <c r="W203"/>
  <c r="X203"/>
  <c r="Y203"/>
  <c r="Z203"/>
  <c r="AA203"/>
  <c r="AB203"/>
  <c r="AC203"/>
  <c r="A204"/>
  <c r="B204"/>
  <c r="C204"/>
  <c r="E204"/>
  <c r="D204" s="1"/>
  <c r="F204"/>
  <c r="G204"/>
  <c r="H204"/>
  <c r="I204"/>
  <c r="J204"/>
  <c r="K204"/>
  <c r="L204"/>
  <c r="M204"/>
  <c r="N204"/>
  <c r="O204"/>
  <c r="P204"/>
  <c r="Q204"/>
  <c r="R204"/>
  <c r="S204"/>
  <c r="T204"/>
  <c r="U204"/>
  <c r="V204"/>
  <c r="W204"/>
  <c r="X204"/>
  <c r="Y204"/>
  <c r="Z204"/>
  <c r="AA204"/>
  <c r="AB204"/>
  <c r="AC204"/>
  <c r="A205"/>
  <c r="B205"/>
  <c r="C205"/>
  <c r="E205"/>
  <c r="D205" s="1"/>
  <c r="F205"/>
  <c r="G205"/>
  <c r="H205"/>
  <c r="I205"/>
  <c r="J205"/>
  <c r="K205"/>
  <c r="L205"/>
  <c r="M205"/>
  <c r="N205"/>
  <c r="O205"/>
  <c r="P205"/>
  <c r="Q205"/>
  <c r="R205"/>
  <c r="S205"/>
  <c r="T205"/>
  <c r="U205"/>
  <c r="V205"/>
  <c r="W205"/>
  <c r="X205"/>
  <c r="Y205"/>
  <c r="Z205"/>
  <c r="AA205"/>
  <c r="AB205"/>
  <c r="AC205"/>
  <c r="A206"/>
  <c r="B206"/>
  <c r="C206"/>
  <c r="E206"/>
  <c r="D206" s="1"/>
  <c r="F206"/>
  <c r="G206"/>
  <c r="H206"/>
  <c r="I206"/>
  <c r="J206"/>
  <c r="K206"/>
  <c r="L206"/>
  <c r="M206"/>
  <c r="N206"/>
  <c r="O206"/>
  <c r="P206"/>
  <c r="Q206"/>
  <c r="R206"/>
  <c r="S206"/>
  <c r="T206"/>
  <c r="U206"/>
  <c r="V206"/>
  <c r="W206"/>
  <c r="X206"/>
  <c r="Y206"/>
  <c r="Z206"/>
  <c r="AA206"/>
  <c r="AB206"/>
  <c r="AC206"/>
  <c r="A207"/>
  <c r="B207"/>
  <c r="C207"/>
  <c r="D207"/>
  <c r="E207"/>
  <c r="F207"/>
  <c r="G207"/>
  <c r="H207"/>
  <c r="I207"/>
  <c r="J207"/>
  <c r="K207"/>
  <c r="L207"/>
  <c r="M207"/>
  <c r="N207"/>
  <c r="O207"/>
  <c r="P207"/>
  <c r="Q207"/>
  <c r="R207"/>
  <c r="S207"/>
  <c r="T207"/>
  <c r="U207"/>
  <c r="V207"/>
  <c r="W207"/>
  <c r="X207"/>
  <c r="Y207"/>
  <c r="Z207"/>
  <c r="AA207"/>
  <c r="AB207"/>
  <c r="AC207"/>
  <c r="A208"/>
  <c r="B208"/>
  <c r="C208"/>
  <c r="E208"/>
  <c r="D208" s="1"/>
  <c r="F208"/>
  <c r="G208"/>
  <c r="H208"/>
  <c r="I208"/>
  <c r="J208"/>
  <c r="K208"/>
  <c r="L208"/>
  <c r="M208"/>
  <c r="N208"/>
  <c r="O208"/>
  <c r="P208"/>
  <c r="Q208"/>
  <c r="R208"/>
  <c r="S208"/>
  <c r="T208"/>
  <c r="U208"/>
  <c r="V208"/>
  <c r="W208"/>
  <c r="X208"/>
  <c r="Y208"/>
  <c r="Z208"/>
  <c r="AA208"/>
  <c r="AB208"/>
  <c r="AC208"/>
  <c r="A209"/>
  <c r="B209"/>
  <c r="C209"/>
  <c r="D209"/>
  <c r="E209"/>
  <c r="F209"/>
  <c r="G209"/>
  <c r="H209"/>
  <c r="I209"/>
  <c r="J209"/>
  <c r="K209"/>
  <c r="L209"/>
  <c r="M209"/>
  <c r="N209"/>
  <c r="O209"/>
  <c r="P209"/>
  <c r="Q209"/>
  <c r="R209"/>
  <c r="S209"/>
  <c r="T209"/>
  <c r="U209"/>
  <c r="V209"/>
  <c r="W209"/>
  <c r="X209"/>
  <c r="Y209"/>
  <c r="Z209"/>
  <c r="AA209"/>
  <c r="AB209"/>
  <c r="AC209"/>
  <c r="A210"/>
  <c r="B210"/>
  <c r="C210"/>
  <c r="E210"/>
  <c r="D210" s="1"/>
  <c r="F210"/>
  <c r="G210"/>
  <c r="H210"/>
  <c r="I210"/>
  <c r="J210"/>
  <c r="K210"/>
  <c r="L210"/>
  <c r="M210"/>
  <c r="N210"/>
  <c r="O210"/>
  <c r="P210"/>
  <c r="Q210"/>
  <c r="R210"/>
  <c r="S210"/>
  <c r="T210"/>
  <c r="U210"/>
  <c r="V210"/>
  <c r="W210"/>
  <c r="X210"/>
  <c r="Y210"/>
  <c r="Z210"/>
  <c r="AA210"/>
  <c r="AB210"/>
  <c r="AC210"/>
  <c r="A211"/>
  <c r="B211"/>
  <c r="C211"/>
  <c r="E211"/>
  <c r="D211" s="1"/>
  <c r="F211"/>
  <c r="G211"/>
  <c r="H211"/>
  <c r="I211"/>
  <c r="J211"/>
  <c r="K211"/>
  <c r="L211"/>
  <c r="M211"/>
  <c r="N211"/>
  <c r="O211"/>
  <c r="P211"/>
  <c r="Q211"/>
  <c r="R211"/>
  <c r="S211"/>
  <c r="T211"/>
  <c r="U211"/>
  <c r="V211"/>
  <c r="W211"/>
  <c r="X211"/>
  <c r="Y211"/>
  <c r="Z211"/>
  <c r="AA211"/>
  <c r="AB211"/>
  <c r="AC211"/>
  <c r="A212"/>
  <c r="B212"/>
  <c r="C212"/>
  <c r="E212"/>
  <c r="D212" s="1"/>
  <c r="F212"/>
  <c r="G212"/>
  <c r="H212"/>
  <c r="I212"/>
  <c r="J212"/>
  <c r="K212"/>
  <c r="L212"/>
  <c r="M212"/>
  <c r="N212"/>
  <c r="O212"/>
  <c r="P212"/>
  <c r="Q212"/>
  <c r="R212"/>
  <c r="S212"/>
  <c r="T212"/>
  <c r="U212"/>
  <c r="V212"/>
  <c r="W212"/>
  <c r="X212"/>
  <c r="Y212"/>
  <c r="Z212"/>
  <c r="AA212"/>
  <c r="AB212"/>
  <c r="AC212"/>
  <c r="A213"/>
  <c r="B213"/>
  <c r="C213"/>
  <c r="E213"/>
  <c r="D213" s="1"/>
  <c r="F213"/>
  <c r="G213"/>
  <c r="H213"/>
  <c r="I213"/>
  <c r="J213"/>
  <c r="K213"/>
  <c r="L213"/>
  <c r="M213"/>
  <c r="N213"/>
  <c r="O213"/>
  <c r="P213"/>
  <c r="Q213"/>
  <c r="R213"/>
  <c r="S213"/>
  <c r="T213"/>
  <c r="U213"/>
  <c r="V213"/>
  <c r="W213"/>
  <c r="X213"/>
  <c r="Y213"/>
  <c r="Z213"/>
  <c r="AA213"/>
  <c r="AB213"/>
  <c r="AC213"/>
  <c r="A214"/>
  <c r="B214"/>
  <c r="C214"/>
  <c r="E214"/>
  <c r="D214" s="1"/>
  <c r="F214"/>
  <c r="G214"/>
  <c r="H214"/>
  <c r="I214"/>
  <c r="J214"/>
  <c r="K214"/>
  <c r="L214"/>
  <c r="M214"/>
  <c r="N214"/>
  <c r="O214"/>
  <c r="P214"/>
  <c r="Q214"/>
  <c r="R214"/>
  <c r="S214"/>
  <c r="T214"/>
  <c r="U214"/>
  <c r="V214"/>
  <c r="W214"/>
  <c r="X214"/>
  <c r="Y214"/>
  <c r="Z214"/>
  <c r="AA214"/>
  <c r="AB214"/>
  <c r="AC214"/>
  <c r="A215"/>
  <c r="B215"/>
  <c r="C215"/>
  <c r="D215"/>
  <c r="E215"/>
  <c r="F215"/>
  <c r="G215"/>
  <c r="H215"/>
  <c r="I215"/>
  <c r="J215"/>
  <c r="K215"/>
  <c r="L215"/>
  <c r="M215"/>
  <c r="N215"/>
  <c r="O215"/>
  <c r="P215"/>
  <c r="Q215"/>
  <c r="R215"/>
  <c r="S215"/>
  <c r="T215"/>
  <c r="U215"/>
  <c r="V215"/>
  <c r="W215"/>
  <c r="X215"/>
  <c r="Y215"/>
  <c r="Z215"/>
  <c r="AA215"/>
  <c r="AB215"/>
  <c r="AC215"/>
  <c r="A216"/>
  <c r="B216"/>
  <c r="C216"/>
  <c r="E216"/>
  <c r="D216" s="1"/>
  <c r="F216"/>
  <c r="G216"/>
  <c r="H216"/>
  <c r="I216"/>
  <c r="J216"/>
  <c r="K216"/>
  <c r="L216"/>
  <c r="M216"/>
  <c r="N216"/>
  <c r="O216"/>
  <c r="P216"/>
  <c r="Q216"/>
  <c r="R216"/>
  <c r="S216"/>
  <c r="T216"/>
  <c r="U216"/>
  <c r="V216"/>
  <c r="W216"/>
  <c r="X216"/>
  <c r="Y216"/>
  <c r="Z216"/>
  <c r="AA216"/>
  <c r="AB216"/>
  <c r="AC216"/>
  <c r="A217"/>
  <c r="B217"/>
  <c r="C217"/>
  <c r="D217"/>
  <c r="E217"/>
  <c r="F217"/>
  <c r="G217"/>
  <c r="H217"/>
  <c r="I217"/>
  <c r="J217"/>
  <c r="K217"/>
  <c r="L217"/>
  <c r="M217"/>
  <c r="N217"/>
  <c r="O217"/>
  <c r="P217"/>
  <c r="Q217"/>
  <c r="R217"/>
  <c r="S217"/>
  <c r="T217"/>
  <c r="U217"/>
  <c r="V217"/>
  <c r="W217"/>
  <c r="X217"/>
  <c r="Y217"/>
  <c r="Z217"/>
  <c r="AA217"/>
  <c r="AB217"/>
  <c r="AC217"/>
  <c r="A218"/>
  <c r="B218"/>
  <c r="C218"/>
  <c r="E218"/>
  <c r="D218" s="1"/>
  <c r="F218"/>
  <c r="G218"/>
  <c r="H218"/>
  <c r="I218"/>
  <c r="J218"/>
  <c r="K218"/>
  <c r="L218"/>
  <c r="M218"/>
  <c r="N218"/>
  <c r="O218"/>
  <c r="P218"/>
  <c r="Q218"/>
  <c r="R218"/>
  <c r="S218"/>
  <c r="T218"/>
  <c r="U218"/>
  <c r="V218"/>
  <c r="W218"/>
  <c r="X218"/>
  <c r="Y218"/>
  <c r="Z218"/>
  <c r="AA218"/>
  <c r="AB218"/>
  <c r="AC218"/>
  <c r="A219"/>
  <c r="B219"/>
  <c r="C219"/>
  <c r="E219"/>
  <c r="D219" s="1"/>
  <c r="F219"/>
  <c r="G219"/>
  <c r="H219"/>
  <c r="I219"/>
  <c r="J219"/>
  <c r="K219"/>
  <c r="L219"/>
  <c r="M219"/>
  <c r="N219"/>
  <c r="O219"/>
  <c r="P219"/>
  <c r="Q219"/>
  <c r="R219"/>
  <c r="S219"/>
  <c r="T219"/>
  <c r="U219"/>
  <c r="V219"/>
  <c r="W219"/>
  <c r="X219"/>
  <c r="Y219"/>
  <c r="Z219"/>
  <c r="AA219"/>
  <c r="AB219"/>
  <c r="AC219"/>
  <c r="A220"/>
  <c r="B220"/>
  <c r="C220"/>
  <c r="E220"/>
  <c r="D220" s="1"/>
  <c r="F220"/>
  <c r="G220"/>
  <c r="H220"/>
  <c r="I220"/>
  <c r="J220"/>
  <c r="K220"/>
  <c r="L220"/>
  <c r="M220"/>
  <c r="N220"/>
  <c r="O220"/>
  <c r="P220"/>
  <c r="Q220"/>
  <c r="R220"/>
  <c r="S220"/>
  <c r="T220"/>
  <c r="U220"/>
  <c r="V220"/>
  <c r="W220"/>
  <c r="X220"/>
  <c r="Y220"/>
  <c r="Z220"/>
  <c r="AA220"/>
  <c r="AB220"/>
  <c r="AC220"/>
  <c r="A221"/>
  <c r="B221"/>
  <c r="C221"/>
  <c r="E221"/>
  <c r="D221" s="1"/>
  <c r="F221"/>
  <c r="G221"/>
  <c r="H221"/>
  <c r="I221"/>
  <c r="J221"/>
  <c r="K221"/>
  <c r="L221"/>
  <c r="M221"/>
  <c r="N221"/>
  <c r="O221"/>
  <c r="P221"/>
  <c r="Q221"/>
  <c r="R221"/>
  <c r="S221"/>
  <c r="T221"/>
  <c r="U221"/>
  <c r="V221"/>
  <c r="W221"/>
  <c r="X221"/>
  <c r="Y221"/>
  <c r="Z221"/>
  <c r="AA221"/>
  <c r="AB221"/>
  <c r="AC221"/>
  <c r="A222"/>
  <c r="B222"/>
  <c r="C222"/>
  <c r="E222"/>
  <c r="D222" s="1"/>
  <c r="F222"/>
  <c r="G222"/>
  <c r="H222"/>
  <c r="I222"/>
  <c r="J222"/>
  <c r="K222"/>
  <c r="L222"/>
  <c r="M222"/>
  <c r="N222"/>
  <c r="O222"/>
  <c r="P222"/>
  <c r="Q222"/>
  <c r="R222"/>
  <c r="S222"/>
  <c r="T222"/>
  <c r="U222"/>
  <c r="V222"/>
  <c r="W222"/>
  <c r="X222"/>
  <c r="Y222"/>
  <c r="Z222"/>
  <c r="AA222"/>
  <c r="AB222"/>
  <c r="AC222"/>
  <c r="A223"/>
  <c r="B223"/>
  <c r="C223"/>
  <c r="D223"/>
  <c r="E223"/>
  <c r="F223"/>
  <c r="G223"/>
  <c r="H223"/>
  <c r="I223"/>
  <c r="J223"/>
  <c r="K223"/>
  <c r="L223"/>
  <c r="M223"/>
  <c r="N223"/>
  <c r="O223"/>
  <c r="P223"/>
  <c r="Q223"/>
  <c r="R223"/>
  <c r="S223"/>
  <c r="T223"/>
  <c r="U223"/>
  <c r="V223"/>
  <c r="W223"/>
  <c r="X223"/>
  <c r="Y223"/>
  <c r="Z223"/>
  <c r="AA223"/>
  <c r="AB223"/>
  <c r="AC223"/>
  <c r="A224"/>
  <c r="B224"/>
  <c r="C224"/>
  <c r="E224"/>
  <c r="D224" s="1"/>
  <c r="F224"/>
  <c r="G224"/>
  <c r="H224"/>
  <c r="I224"/>
  <c r="J224"/>
  <c r="K224"/>
  <c r="L224"/>
  <c r="M224"/>
  <c r="N224"/>
  <c r="O224"/>
  <c r="P224"/>
  <c r="Q224"/>
  <c r="R224"/>
  <c r="S224"/>
  <c r="T224"/>
  <c r="U224"/>
  <c r="V224"/>
  <c r="W224"/>
  <c r="X224"/>
  <c r="Y224"/>
  <c r="Z224"/>
  <c r="AA224"/>
  <c r="AB224"/>
  <c r="AC224"/>
  <c r="A225"/>
  <c r="B225"/>
  <c r="C225"/>
  <c r="D225"/>
  <c r="E225"/>
  <c r="F225"/>
  <c r="G225"/>
  <c r="H225"/>
  <c r="I225"/>
  <c r="J225"/>
  <c r="K225"/>
  <c r="L225"/>
  <c r="M225"/>
  <c r="N225"/>
  <c r="O225"/>
  <c r="P225"/>
  <c r="Q225"/>
  <c r="R225"/>
  <c r="S225"/>
  <c r="T225"/>
  <c r="U225"/>
  <c r="V225"/>
  <c r="W225"/>
  <c r="X225"/>
  <c r="Y225"/>
  <c r="Z225"/>
  <c r="AA225"/>
  <c r="AB225"/>
  <c r="AC225"/>
  <c r="A226"/>
  <c r="B226"/>
  <c r="C226"/>
  <c r="E226"/>
  <c r="D226" s="1"/>
  <c r="F226"/>
  <c r="G226"/>
  <c r="H226"/>
  <c r="I226"/>
  <c r="J226"/>
  <c r="K226"/>
  <c r="L226"/>
  <c r="M226"/>
  <c r="N226"/>
  <c r="O226"/>
  <c r="P226"/>
  <c r="Q226"/>
  <c r="R226"/>
  <c r="S226"/>
  <c r="T226"/>
  <c r="U226"/>
  <c r="V226"/>
  <c r="W226"/>
  <c r="X226"/>
  <c r="Y226"/>
  <c r="Z226"/>
  <c r="AA226"/>
  <c r="AB226"/>
  <c r="AC226"/>
  <c r="A227"/>
  <c r="B227"/>
  <c r="C227"/>
  <c r="E227"/>
  <c r="D227" s="1"/>
  <c r="F227"/>
  <c r="G227"/>
  <c r="H227"/>
  <c r="I227"/>
  <c r="J227"/>
  <c r="K227"/>
  <c r="L227"/>
  <c r="M227"/>
  <c r="N227"/>
  <c r="O227"/>
  <c r="P227"/>
  <c r="Q227"/>
  <c r="R227"/>
  <c r="S227"/>
  <c r="T227"/>
  <c r="U227"/>
  <c r="V227"/>
  <c r="W227"/>
  <c r="X227"/>
  <c r="Y227"/>
  <c r="Z227"/>
  <c r="AA227"/>
  <c r="AB227"/>
  <c r="AC227"/>
  <c r="A228"/>
  <c r="B228"/>
  <c r="C228"/>
  <c r="E228"/>
  <c r="D228" s="1"/>
  <c r="F228"/>
  <c r="G228"/>
  <c r="H228"/>
  <c r="I228"/>
  <c r="J228"/>
  <c r="K228"/>
  <c r="L228"/>
  <c r="M228"/>
  <c r="N228"/>
  <c r="O228"/>
  <c r="P228"/>
  <c r="Q228"/>
  <c r="R228"/>
  <c r="S228"/>
  <c r="T228"/>
  <c r="U228"/>
  <c r="V228"/>
  <c r="W228"/>
  <c r="X228"/>
  <c r="Y228"/>
  <c r="Z228"/>
  <c r="AA228"/>
  <c r="AB228"/>
  <c r="AC228"/>
  <c r="A229"/>
  <c r="B229"/>
  <c r="C229"/>
  <c r="E229"/>
  <c r="D229" s="1"/>
  <c r="F229"/>
  <c r="G229"/>
  <c r="H229"/>
  <c r="I229"/>
  <c r="J229"/>
  <c r="K229"/>
  <c r="L229"/>
  <c r="M229"/>
  <c r="N229"/>
  <c r="O229"/>
  <c r="P229"/>
  <c r="Q229"/>
  <c r="R229"/>
  <c r="S229"/>
  <c r="T229"/>
  <c r="U229"/>
  <c r="V229"/>
  <c r="W229"/>
  <c r="X229"/>
  <c r="Y229"/>
  <c r="Z229"/>
  <c r="AA229"/>
  <c r="AB229"/>
  <c r="AC229"/>
  <c r="A230"/>
  <c r="B230"/>
  <c r="C230"/>
  <c r="E230"/>
  <c r="D230" s="1"/>
  <c r="F230"/>
  <c r="G230"/>
  <c r="H230"/>
  <c r="I230"/>
  <c r="J230"/>
  <c r="K230"/>
  <c r="L230"/>
  <c r="M230"/>
  <c r="N230"/>
  <c r="O230"/>
  <c r="P230"/>
  <c r="Q230"/>
  <c r="R230"/>
  <c r="S230"/>
  <c r="T230"/>
  <c r="U230"/>
  <c r="V230"/>
  <c r="W230"/>
  <c r="X230"/>
  <c r="Y230"/>
  <c r="Z230"/>
  <c r="AA230"/>
  <c r="AB230"/>
  <c r="AC230"/>
  <c r="A231"/>
  <c r="B231"/>
  <c r="C231"/>
  <c r="D231"/>
  <c r="E231"/>
  <c r="F231"/>
  <c r="G231"/>
  <c r="H231"/>
  <c r="I231"/>
  <c r="J231"/>
  <c r="K231"/>
  <c r="L231"/>
  <c r="M231"/>
  <c r="N231"/>
  <c r="O231"/>
  <c r="P231"/>
  <c r="Q231"/>
  <c r="R231"/>
  <c r="S231"/>
  <c r="T231"/>
  <c r="U231"/>
  <c r="V231"/>
  <c r="W231"/>
  <c r="X231"/>
  <c r="Y231"/>
  <c r="Z231"/>
  <c r="AA231"/>
  <c r="AB231"/>
  <c r="AC231"/>
  <c r="A232"/>
  <c r="B232"/>
  <c r="C232"/>
  <c r="E232"/>
  <c r="D232" s="1"/>
  <c r="F232"/>
  <c r="G232"/>
  <c r="H232"/>
  <c r="I232"/>
  <c r="J232"/>
  <c r="K232"/>
  <c r="L232"/>
  <c r="M232"/>
  <c r="N232"/>
  <c r="O232"/>
  <c r="P232"/>
  <c r="Q232"/>
  <c r="R232"/>
  <c r="S232"/>
  <c r="T232"/>
  <c r="U232"/>
  <c r="V232"/>
  <c r="W232"/>
  <c r="X232"/>
  <c r="Y232"/>
  <c r="Z232"/>
  <c r="AA232"/>
  <c r="AB232"/>
  <c r="AC232"/>
  <c r="A233"/>
  <c r="B233"/>
  <c r="C233"/>
  <c r="D233"/>
  <c r="E233"/>
  <c r="F233"/>
  <c r="G233"/>
  <c r="H233"/>
  <c r="I233"/>
  <c r="J233"/>
  <c r="K233"/>
  <c r="L233"/>
  <c r="M233"/>
  <c r="N233"/>
  <c r="O233"/>
  <c r="P233"/>
  <c r="Q233"/>
  <c r="R233"/>
  <c r="S233"/>
  <c r="T233"/>
  <c r="U233"/>
  <c r="V233"/>
  <c r="W233"/>
  <c r="X233"/>
  <c r="Y233"/>
  <c r="Z233"/>
  <c r="AA233"/>
  <c r="AB233"/>
  <c r="AC233"/>
  <c r="A234"/>
  <c r="B234"/>
  <c r="C234"/>
  <c r="E234"/>
  <c r="D234" s="1"/>
  <c r="F234"/>
  <c r="G234"/>
  <c r="H234"/>
  <c r="I234"/>
  <c r="J234"/>
  <c r="K234"/>
  <c r="L234"/>
  <c r="M234"/>
  <c r="N234"/>
  <c r="O234"/>
  <c r="P234"/>
  <c r="Q234"/>
  <c r="R234"/>
  <c r="S234"/>
  <c r="T234"/>
  <c r="U234"/>
  <c r="V234"/>
  <c r="W234"/>
  <c r="X234"/>
  <c r="Y234"/>
  <c r="Z234"/>
  <c r="AA234"/>
  <c r="AB234"/>
  <c r="AC234"/>
  <c r="A235"/>
  <c r="B235"/>
  <c r="C235"/>
  <c r="D235"/>
  <c r="E235"/>
  <c r="F235"/>
  <c r="G235"/>
  <c r="H235"/>
  <c r="I235"/>
  <c r="J235"/>
  <c r="K235"/>
  <c r="L235"/>
  <c r="M235"/>
  <c r="N235"/>
  <c r="O235"/>
  <c r="P235"/>
  <c r="Q235"/>
  <c r="R235"/>
  <c r="S235"/>
  <c r="T235"/>
  <c r="U235"/>
  <c r="V235"/>
  <c r="W235"/>
  <c r="X235"/>
  <c r="Y235"/>
  <c r="Z235"/>
  <c r="AA235"/>
  <c r="AB235"/>
  <c r="AC235"/>
  <c r="A236"/>
  <c r="B236"/>
  <c r="C236"/>
  <c r="E236"/>
  <c r="D236" s="1"/>
  <c r="F236"/>
  <c r="G236"/>
  <c r="H236"/>
  <c r="I236"/>
  <c r="J236"/>
  <c r="K236"/>
  <c r="L236"/>
  <c r="M236"/>
  <c r="N236"/>
  <c r="O236"/>
  <c r="P236"/>
  <c r="Q236"/>
  <c r="R236"/>
  <c r="S236"/>
  <c r="T236"/>
  <c r="U236"/>
  <c r="V236"/>
  <c r="W236"/>
  <c r="X236"/>
  <c r="Y236"/>
  <c r="Z236"/>
  <c r="AA236"/>
  <c r="AB236"/>
  <c r="AC236"/>
  <c r="A237"/>
  <c r="B237"/>
  <c r="C237"/>
  <c r="E237"/>
  <c r="D237" s="1"/>
  <c r="F237"/>
  <c r="G237"/>
  <c r="H237"/>
  <c r="I237"/>
  <c r="J237"/>
  <c r="K237"/>
  <c r="L237"/>
  <c r="M237"/>
  <c r="N237"/>
  <c r="O237"/>
  <c r="P237"/>
  <c r="Q237"/>
  <c r="R237"/>
  <c r="S237"/>
  <c r="T237"/>
  <c r="U237"/>
  <c r="V237"/>
  <c r="W237"/>
  <c r="X237"/>
  <c r="Y237"/>
  <c r="Z237"/>
  <c r="AA237"/>
  <c r="AB237"/>
  <c r="AC237"/>
  <c r="A238"/>
  <c r="B238"/>
  <c r="C238"/>
  <c r="E238"/>
  <c r="D238" s="1"/>
  <c r="F238"/>
  <c r="G238"/>
  <c r="H238"/>
  <c r="I238"/>
  <c r="J238"/>
  <c r="K238"/>
  <c r="L238"/>
  <c r="M238"/>
  <c r="N238"/>
  <c r="O238"/>
  <c r="P238"/>
  <c r="Q238"/>
  <c r="R238"/>
  <c r="S238"/>
  <c r="T238"/>
  <c r="U238"/>
  <c r="V238"/>
  <c r="W238"/>
  <c r="X238"/>
  <c r="Y238"/>
  <c r="Z238"/>
  <c r="AA238"/>
  <c r="AB238"/>
  <c r="AC238"/>
  <c r="A239"/>
  <c r="B239"/>
  <c r="C239"/>
  <c r="D239"/>
  <c r="E239"/>
  <c r="F239"/>
  <c r="G239"/>
  <c r="H239"/>
  <c r="I239"/>
  <c r="J239"/>
  <c r="K239"/>
  <c r="L239"/>
  <c r="M239"/>
  <c r="N239"/>
  <c r="O239"/>
  <c r="P239"/>
  <c r="Q239"/>
  <c r="R239"/>
  <c r="S239"/>
  <c r="T239"/>
  <c r="U239"/>
  <c r="V239"/>
  <c r="W239"/>
  <c r="X239"/>
  <c r="Y239"/>
  <c r="Z239"/>
  <c r="AA239"/>
  <c r="AB239"/>
  <c r="AC239"/>
  <c r="A240"/>
  <c r="B240"/>
  <c r="C240"/>
  <c r="E240"/>
  <c r="D240" s="1"/>
  <c r="F240"/>
  <c r="G240"/>
  <c r="H240"/>
  <c r="I240"/>
  <c r="J240"/>
  <c r="K240"/>
  <c r="L240"/>
  <c r="M240"/>
  <c r="N240"/>
  <c r="O240"/>
  <c r="P240"/>
  <c r="Q240"/>
  <c r="R240"/>
  <c r="S240"/>
  <c r="T240"/>
  <c r="U240"/>
  <c r="V240"/>
  <c r="W240"/>
  <c r="X240"/>
  <c r="Y240"/>
  <c r="Z240"/>
  <c r="AA240"/>
  <c r="AB240"/>
  <c r="AC240"/>
  <c r="A241"/>
  <c r="B241"/>
  <c r="C241"/>
  <c r="D241"/>
  <c r="E241"/>
  <c r="F241"/>
  <c r="G241"/>
  <c r="H241"/>
  <c r="I241"/>
  <c r="J241"/>
  <c r="K241"/>
  <c r="L241"/>
  <c r="M241"/>
  <c r="N241"/>
  <c r="O241"/>
  <c r="P241"/>
  <c r="Q241"/>
  <c r="R241"/>
  <c r="S241"/>
  <c r="T241"/>
  <c r="U241"/>
  <c r="V241"/>
  <c r="W241"/>
  <c r="X241"/>
  <c r="Y241"/>
  <c r="Z241"/>
  <c r="AA241"/>
  <c r="AB241"/>
  <c r="AC241"/>
  <c r="A242"/>
  <c r="B242"/>
  <c r="C242"/>
  <c r="E242"/>
  <c r="D242" s="1"/>
  <c r="F242"/>
  <c r="G242"/>
  <c r="H242"/>
  <c r="I242"/>
  <c r="J242"/>
  <c r="K242"/>
  <c r="L242"/>
  <c r="M242"/>
  <c r="N242"/>
  <c r="O242"/>
  <c r="P242"/>
  <c r="Q242"/>
  <c r="R242"/>
  <c r="S242"/>
  <c r="T242"/>
  <c r="U242"/>
  <c r="V242"/>
  <c r="W242"/>
  <c r="X242"/>
  <c r="Y242"/>
  <c r="Z242"/>
  <c r="AA242"/>
  <c r="AB242"/>
  <c r="AC242"/>
  <c r="A243"/>
  <c r="B243"/>
  <c r="C243"/>
  <c r="D243"/>
  <c r="E243"/>
  <c r="F243"/>
  <c r="G243"/>
  <c r="H243"/>
  <c r="I243"/>
  <c r="J243"/>
  <c r="K243"/>
  <c r="L243"/>
  <c r="M243"/>
  <c r="N243"/>
  <c r="O243"/>
  <c r="P243"/>
  <c r="Q243"/>
  <c r="R243"/>
  <c r="S243"/>
  <c r="T243"/>
  <c r="U243"/>
  <c r="V243"/>
  <c r="W243"/>
  <c r="X243"/>
  <c r="Y243"/>
  <c r="Z243"/>
  <c r="AA243"/>
  <c r="AB243"/>
  <c r="AC243"/>
  <c r="A244"/>
  <c r="B244"/>
  <c r="C244"/>
  <c r="E244"/>
  <c r="D244" s="1"/>
  <c r="F244"/>
  <c r="G244"/>
  <c r="H244"/>
  <c r="I244"/>
  <c r="J244"/>
  <c r="K244"/>
  <c r="L244"/>
  <c r="M244"/>
  <c r="N244"/>
  <c r="O244"/>
  <c r="P244"/>
  <c r="Q244"/>
  <c r="R244"/>
  <c r="S244"/>
  <c r="T244"/>
  <c r="U244"/>
  <c r="V244"/>
  <c r="W244"/>
  <c r="X244"/>
  <c r="Y244"/>
  <c r="Z244"/>
  <c r="AA244"/>
  <c r="AB244"/>
  <c r="AC244"/>
  <c r="A245"/>
  <c r="B245"/>
  <c r="C245"/>
  <c r="D245"/>
  <c r="E245"/>
  <c r="F245"/>
  <c r="G245"/>
  <c r="H245"/>
  <c r="I245"/>
  <c r="J245"/>
  <c r="K245"/>
  <c r="L245"/>
  <c r="M245"/>
  <c r="N245"/>
  <c r="O245"/>
  <c r="P245"/>
  <c r="Q245"/>
  <c r="R245"/>
  <c r="S245"/>
  <c r="T245"/>
  <c r="U245"/>
  <c r="V245"/>
  <c r="W245"/>
  <c r="X245"/>
  <c r="Y245"/>
  <c r="Z245"/>
  <c r="AA245"/>
  <c r="AB245"/>
  <c r="AC245"/>
  <c r="A246"/>
  <c r="B246"/>
  <c r="C246"/>
  <c r="E246"/>
  <c r="D246" s="1"/>
  <c r="F246"/>
  <c r="G246"/>
  <c r="H246"/>
  <c r="I246"/>
  <c r="J246"/>
  <c r="K246"/>
  <c r="L246"/>
  <c r="M246"/>
  <c r="N246"/>
  <c r="O246"/>
  <c r="P246"/>
  <c r="Q246"/>
  <c r="R246"/>
  <c r="S246"/>
  <c r="T246"/>
  <c r="U246"/>
  <c r="V246"/>
  <c r="W246"/>
  <c r="X246"/>
  <c r="Y246"/>
  <c r="Z246"/>
  <c r="AA246"/>
  <c r="AB246"/>
  <c r="AC246"/>
  <c r="A247"/>
  <c r="B247"/>
  <c r="C247"/>
  <c r="D247"/>
  <c r="E247"/>
  <c r="F247"/>
  <c r="G247"/>
  <c r="H247"/>
  <c r="I247"/>
  <c r="J247"/>
  <c r="K247"/>
  <c r="L247"/>
  <c r="M247"/>
  <c r="N247"/>
  <c r="O247"/>
  <c r="P247"/>
  <c r="Q247"/>
  <c r="R247"/>
  <c r="S247"/>
  <c r="T247"/>
  <c r="U247"/>
  <c r="V247"/>
  <c r="W247"/>
  <c r="X247"/>
  <c r="Y247"/>
  <c r="Z247"/>
  <c r="AA247"/>
  <c r="AB247"/>
  <c r="AC247"/>
  <c r="A248"/>
  <c r="B248"/>
  <c r="C248"/>
  <c r="E248"/>
  <c r="D248" s="1"/>
  <c r="F248"/>
  <c r="G248"/>
  <c r="H248"/>
  <c r="I248"/>
  <c r="J248"/>
  <c r="K248"/>
  <c r="L248"/>
  <c r="M248"/>
  <c r="N248"/>
  <c r="O248"/>
  <c r="P248"/>
  <c r="Q248"/>
  <c r="R248"/>
  <c r="S248"/>
  <c r="T248"/>
  <c r="U248"/>
  <c r="V248"/>
  <c r="W248"/>
  <c r="X248"/>
  <c r="Y248"/>
  <c r="Z248"/>
  <c r="AA248"/>
  <c r="AB248"/>
  <c r="AC248"/>
  <c r="A249"/>
  <c r="B249"/>
  <c r="C249"/>
  <c r="D249"/>
  <c r="E249"/>
  <c r="F249"/>
  <c r="G249"/>
  <c r="H249"/>
  <c r="I249"/>
  <c r="J249"/>
  <c r="K249"/>
  <c r="L249"/>
  <c r="M249"/>
  <c r="N249"/>
  <c r="O249"/>
  <c r="P249"/>
  <c r="Q249"/>
  <c r="R249"/>
  <c r="S249"/>
  <c r="T249"/>
  <c r="U249"/>
  <c r="V249"/>
  <c r="W249"/>
  <c r="X249"/>
  <c r="Y249"/>
  <c r="Z249"/>
  <c r="AA249"/>
  <c r="AB249"/>
  <c r="AC249"/>
  <c r="A250"/>
  <c r="B250"/>
  <c r="C250"/>
  <c r="E250"/>
  <c r="D250" s="1"/>
  <c r="F250"/>
  <c r="G250"/>
  <c r="H250"/>
  <c r="I250"/>
  <c r="J250"/>
  <c r="K250"/>
  <c r="L250"/>
  <c r="M250"/>
  <c r="N250"/>
  <c r="O250"/>
  <c r="P250"/>
  <c r="Q250"/>
  <c r="R250"/>
  <c r="S250"/>
  <c r="T250"/>
  <c r="U250"/>
  <c r="V250"/>
  <c r="W250"/>
  <c r="X250"/>
  <c r="Y250"/>
  <c r="Z250"/>
  <c r="AA250"/>
  <c r="AB250"/>
  <c r="AC250"/>
  <c r="A251"/>
  <c r="B251"/>
  <c r="C251"/>
  <c r="E251"/>
  <c r="D251" s="1"/>
  <c r="F251"/>
  <c r="G251"/>
  <c r="H251"/>
  <c r="I251"/>
  <c r="J251"/>
  <c r="K251"/>
  <c r="L251"/>
  <c r="M251"/>
  <c r="N251"/>
  <c r="O251"/>
  <c r="P251"/>
  <c r="Q251"/>
  <c r="R251"/>
  <c r="S251"/>
  <c r="T251"/>
  <c r="U251"/>
  <c r="V251"/>
  <c r="W251"/>
  <c r="X251"/>
  <c r="Y251"/>
  <c r="Z251"/>
  <c r="AA251"/>
  <c r="AB251"/>
  <c r="AC251"/>
  <c r="A252"/>
  <c r="B252"/>
  <c r="C252"/>
  <c r="E252"/>
  <c r="D252" s="1"/>
  <c r="F252"/>
  <c r="G252"/>
  <c r="H252"/>
  <c r="I252"/>
  <c r="J252"/>
  <c r="K252"/>
  <c r="L252"/>
  <c r="M252"/>
  <c r="N252"/>
  <c r="O252"/>
  <c r="P252"/>
  <c r="Q252"/>
  <c r="R252"/>
  <c r="S252"/>
  <c r="T252"/>
  <c r="U252"/>
  <c r="V252"/>
  <c r="W252"/>
  <c r="X252"/>
  <c r="Y252"/>
  <c r="Z252"/>
  <c r="AA252"/>
  <c r="AB252"/>
  <c r="AC252"/>
  <c r="A253"/>
  <c r="B253"/>
  <c r="C253"/>
  <c r="D253"/>
  <c r="E253"/>
  <c r="F253"/>
  <c r="G253"/>
  <c r="H253"/>
  <c r="I253"/>
  <c r="J253"/>
  <c r="K253"/>
  <c r="L253"/>
  <c r="M253"/>
  <c r="N253"/>
  <c r="O253"/>
  <c r="P253"/>
  <c r="Q253"/>
  <c r="R253"/>
  <c r="S253"/>
  <c r="T253"/>
  <c r="U253"/>
  <c r="V253"/>
  <c r="W253"/>
  <c r="X253"/>
  <c r="Y253"/>
  <c r="Z253"/>
  <c r="AA253"/>
  <c r="AB253"/>
  <c r="AC253"/>
  <c r="A254"/>
  <c r="B254"/>
  <c r="C254"/>
  <c r="E254"/>
  <c r="D254" s="1"/>
  <c r="F254"/>
  <c r="G254"/>
  <c r="H254"/>
  <c r="I254"/>
  <c r="J254"/>
  <c r="K254"/>
  <c r="L254"/>
  <c r="M254"/>
  <c r="N254"/>
  <c r="O254"/>
  <c r="P254"/>
  <c r="Q254"/>
  <c r="R254"/>
  <c r="S254"/>
  <c r="T254"/>
  <c r="U254"/>
  <c r="V254"/>
  <c r="W254"/>
  <c r="X254"/>
  <c r="Y254"/>
  <c r="Z254"/>
  <c r="AA254"/>
  <c r="AB254"/>
  <c r="AC254"/>
  <c r="A255"/>
  <c r="B255"/>
  <c r="C255"/>
  <c r="D255"/>
  <c r="E255"/>
  <c r="F255"/>
  <c r="G255"/>
  <c r="H255"/>
  <c r="I255"/>
  <c r="J255"/>
  <c r="K255"/>
  <c r="L255"/>
  <c r="M255"/>
  <c r="N255"/>
  <c r="O255"/>
  <c r="P255"/>
  <c r="Q255"/>
  <c r="R255"/>
  <c r="S255"/>
  <c r="T255"/>
  <c r="U255"/>
  <c r="V255"/>
  <c r="W255"/>
  <c r="X255"/>
  <c r="Y255"/>
  <c r="Z255"/>
  <c r="AA255"/>
  <c r="AB255"/>
  <c r="AC255"/>
  <c r="A256"/>
  <c r="B256"/>
  <c r="C256"/>
  <c r="E256"/>
  <c r="D256" s="1"/>
  <c r="F256"/>
  <c r="G256"/>
  <c r="H256"/>
  <c r="I256"/>
  <c r="J256"/>
  <c r="K256"/>
  <c r="L256"/>
  <c r="M256"/>
  <c r="N256"/>
  <c r="O256"/>
  <c r="P256"/>
  <c r="Q256"/>
  <c r="R256"/>
  <c r="S256"/>
  <c r="T256"/>
  <c r="U256"/>
  <c r="V256"/>
  <c r="W256"/>
  <c r="X256"/>
  <c r="Y256"/>
  <c r="Z256"/>
  <c r="AA256"/>
  <c r="AB256"/>
  <c r="AC256"/>
  <c r="A257"/>
  <c r="B257"/>
  <c r="C257"/>
  <c r="E257"/>
  <c r="D257" s="1"/>
  <c r="F257"/>
  <c r="G257"/>
  <c r="H257"/>
  <c r="I257"/>
  <c r="J257"/>
  <c r="K257"/>
  <c r="L257"/>
  <c r="M257"/>
  <c r="N257"/>
  <c r="O257"/>
  <c r="P257"/>
  <c r="Q257"/>
  <c r="R257"/>
  <c r="S257"/>
  <c r="T257"/>
  <c r="U257"/>
  <c r="V257"/>
  <c r="W257"/>
  <c r="X257"/>
  <c r="Y257"/>
  <c r="Z257"/>
  <c r="AA257"/>
  <c r="AB257"/>
  <c r="AC257"/>
  <c r="A258"/>
  <c r="B258"/>
  <c r="C258"/>
  <c r="E258"/>
  <c r="D258" s="1"/>
  <c r="F258"/>
  <c r="G258"/>
  <c r="H258"/>
  <c r="I258"/>
  <c r="J258"/>
  <c r="K258"/>
  <c r="L258"/>
  <c r="M258"/>
  <c r="N258"/>
  <c r="O258"/>
  <c r="P258"/>
  <c r="Q258"/>
  <c r="R258"/>
  <c r="S258"/>
  <c r="T258"/>
  <c r="U258"/>
  <c r="V258"/>
  <c r="W258"/>
  <c r="X258"/>
  <c r="Y258"/>
  <c r="Z258"/>
  <c r="AA258"/>
  <c r="AB258"/>
  <c r="AC258"/>
  <c r="A259"/>
  <c r="B259"/>
  <c r="C259"/>
  <c r="E259"/>
  <c r="D259" s="1"/>
  <c r="F259"/>
  <c r="G259"/>
  <c r="H259"/>
  <c r="I259"/>
  <c r="J259"/>
  <c r="K259"/>
  <c r="L259"/>
  <c r="M259"/>
  <c r="N259"/>
  <c r="O259"/>
  <c r="P259"/>
  <c r="Q259"/>
  <c r="R259"/>
  <c r="S259"/>
  <c r="T259"/>
  <c r="U259"/>
  <c r="V259"/>
  <c r="W259"/>
  <c r="X259"/>
  <c r="Y259"/>
  <c r="Z259"/>
  <c r="AA259"/>
  <c r="AB259"/>
  <c r="AC259"/>
  <c r="A260"/>
  <c r="B260"/>
  <c r="C260"/>
  <c r="E260"/>
  <c r="D260" s="1"/>
  <c r="F260"/>
  <c r="G260"/>
  <c r="H260"/>
  <c r="I260"/>
  <c r="J260"/>
  <c r="K260"/>
  <c r="L260"/>
  <c r="M260"/>
  <c r="N260"/>
  <c r="O260"/>
  <c r="P260"/>
  <c r="Q260"/>
  <c r="R260"/>
  <c r="S260"/>
  <c r="T260"/>
  <c r="U260"/>
  <c r="V260"/>
  <c r="W260"/>
  <c r="X260"/>
  <c r="Y260"/>
  <c r="Z260"/>
  <c r="AA260"/>
  <c r="AB260"/>
  <c r="AC260"/>
  <c r="A261"/>
  <c r="B261"/>
  <c r="C261"/>
  <c r="D261"/>
  <c r="E261"/>
  <c r="F261"/>
  <c r="G261"/>
  <c r="H261"/>
  <c r="I261"/>
  <c r="J261"/>
  <c r="K261"/>
  <c r="L261"/>
  <c r="M261"/>
  <c r="N261"/>
  <c r="O261"/>
  <c r="P261"/>
  <c r="Q261"/>
  <c r="R261"/>
  <c r="S261"/>
  <c r="T261"/>
  <c r="U261"/>
  <c r="V261"/>
  <c r="W261"/>
  <c r="X261"/>
  <c r="Y261"/>
  <c r="Z261"/>
  <c r="AA261"/>
  <c r="AB261"/>
  <c r="AC261"/>
  <c r="A262"/>
  <c r="B262"/>
  <c r="C262"/>
  <c r="E262"/>
  <c r="D262" s="1"/>
  <c r="F262"/>
  <c r="G262"/>
  <c r="H262"/>
  <c r="I262"/>
  <c r="J262"/>
  <c r="K262"/>
  <c r="L262"/>
  <c r="M262"/>
  <c r="N262"/>
  <c r="O262"/>
  <c r="P262"/>
  <c r="Q262"/>
  <c r="R262"/>
  <c r="S262"/>
  <c r="T262"/>
  <c r="U262"/>
  <c r="V262"/>
  <c r="W262"/>
  <c r="X262"/>
  <c r="Y262"/>
  <c r="Z262"/>
  <c r="AA262"/>
  <c r="AB262"/>
  <c r="AC262"/>
  <c r="A263"/>
  <c r="B263"/>
  <c r="C263"/>
  <c r="D263"/>
  <c r="E263"/>
  <c r="F263"/>
  <c r="G263"/>
  <c r="H263"/>
  <c r="I263"/>
  <c r="J263"/>
  <c r="K263"/>
  <c r="L263"/>
  <c r="M263"/>
  <c r="N263"/>
  <c r="O263"/>
  <c r="P263"/>
  <c r="Q263"/>
  <c r="R263"/>
  <c r="S263"/>
  <c r="T263"/>
  <c r="U263"/>
  <c r="V263"/>
  <c r="W263"/>
  <c r="X263"/>
  <c r="Y263"/>
  <c r="Z263"/>
  <c r="AA263"/>
  <c r="AB263"/>
  <c r="AC263"/>
  <c r="A264"/>
  <c r="B264"/>
  <c r="C264"/>
  <c r="E264"/>
  <c r="D264" s="1"/>
  <c r="F264"/>
  <c r="G264"/>
  <c r="H264"/>
  <c r="I264"/>
  <c r="J264"/>
  <c r="K264"/>
  <c r="L264"/>
  <c r="M264"/>
  <c r="N264"/>
  <c r="O264"/>
  <c r="P264"/>
  <c r="Q264"/>
  <c r="R264"/>
  <c r="S264"/>
  <c r="T264"/>
  <c r="U264"/>
  <c r="V264"/>
  <c r="W264"/>
  <c r="X264"/>
  <c r="Y264"/>
  <c r="Z264"/>
  <c r="AA264"/>
  <c r="AB264"/>
  <c r="AC264"/>
  <c r="A265"/>
  <c r="B265"/>
  <c r="C265"/>
  <c r="E265"/>
  <c r="D265" s="1"/>
  <c r="F265"/>
  <c r="G265"/>
  <c r="H265"/>
  <c r="I265"/>
  <c r="J265"/>
  <c r="K265"/>
  <c r="L265"/>
  <c r="M265"/>
  <c r="N265"/>
  <c r="O265"/>
  <c r="P265"/>
  <c r="Q265"/>
  <c r="R265"/>
  <c r="S265"/>
  <c r="T265"/>
  <c r="U265"/>
  <c r="V265"/>
  <c r="W265"/>
  <c r="X265"/>
  <c r="Y265"/>
  <c r="Z265"/>
  <c r="AA265"/>
  <c r="AB265"/>
  <c r="AC265"/>
  <c r="A266"/>
  <c r="B266"/>
  <c r="C266"/>
  <c r="E266"/>
  <c r="D266" s="1"/>
  <c r="F266"/>
  <c r="G266"/>
  <c r="H266"/>
  <c r="I266"/>
  <c r="J266"/>
  <c r="K266"/>
  <c r="L266"/>
  <c r="M266"/>
  <c r="N266"/>
  <c r="O266"/>
  <c r="P266"/>
  <c r="Q266"/>
  <c r="R266"/>
  <c r="S266"/>
  <c r="T266"/>
  <c r="U266"/>
  <c r="V266"/>
  <c r="W266"/>
  <c r="X266"/>
  <c r="Y266"/>
  <c r="Z266"/>
  <c r="AA266"/>
  <c r="AB266"/>
  <c r="AC266"/>
  <c r="A267"/>
  <c r="B267"/>
  <c r="C267"/>
  <c r="E267"/>
  <c r="D267" s="1"/>
  <c r="F267"/>
  <c r="G267"/>
  <c r="H267"/>
  <c r="I267"/>
  <c r="J267"/>
  <c r="K267"/>
  <c r="L267"/>
  <c r="M267"/>
  <c r="N267"/>
  <c r="O267"/>
  <c r="P267"/>
  <c r="Q267"/>
  <c r="R267"/>
  <c r="S267"/>
  <c r="T267"/>
  <c r="U267"/>
  <c r="V267"/>
  <c r="W267"/>
  <c r="X267"/>
  <c r="Y267"/>
  <c r="Z267"/>
  <c r="AA267"/>
  <c r="AB267"/>
  <c r="AC267"/>
  <c r="A268"/>
  <c r="B268"/>
  <c r="C268"/>
  <c r="E268"/>
  <c r="D268" s="1"/>
  <c r="F268"/>
  <c r="G268"/>
  <c r="H268"/>
  <c r="I268"/>
  <c r="J268"/>
  <c r="K268"/>
  <c r="L268"/>
  <c r="M268"/>
  <c r="N268"/>
  <c r="O268"/>
  <c r="P268"/>
  <c r="Q268"/>
  <c r="R268"/>
  <c r="S268"/>
  <c r="T268"/>
  <c r="U268"/>
  <c r="V268"/>
  <c r="W268"/>
  <c r="X268"/>
  <c r="Y268"/>
  <c r="Z268"/>
  <c r="AA268"/>
  <c r="AB268"/>
  <c r="AC268"/>
  <c r="A269"/>
  <c r="B269"/>
  <c r="C269"/>
  <c r="D269"/>
  <c r="E269"/>
  <c r="F269"/>
  <c r="G269"/>
  <c r="H269"/>
  <c r="I269"/>
  <c r="J269"/>
  <c r="K269"/>
  <c r="L269"/>
  <c r="M269"/>
  <c r="N269"/>
  <c r="O269"/>
  <c r="P269"/>
  <c r="Q269"/>
  <c r="R269"/>
  <c r="S269"/>
  <c r="T269"/>
  <c r="U269"/>
  <c r="V269"/>
  <c r="W269"/>
  <c r="X269"/>
  <c r="Y269"/>
  <c r="Z269"/>
  <c r="AA269"/>
  <c r="AB269"/>
  <c r="AC269"/>
  <c r="A270"/>
  <c r="B270"/>
  <c r="C270"/>
  <c r="E270"/>
  <c r="D270" s="1"/>
  <c r="F270"/>
  <c r="G270"/>
  <c r="H270"/>
  <c r="I270"/>
  <c r="J270"/>
  <c r="K270"/>
  <c r="L270"/>
  <c r="M270"/>
  <c r="N270"/>
  <c r="O270"/>
  <c r="P270"/>
  <c r="Q270"/>
  <c r="R270"/>
  <c r="S270"/>
  <c r="T270"/>
  <c r="U270"/>
  <c r="V270"/>
  <c r="W270"/>
  <c r="X270"/>
  <c r="Y270"/>
  <c r="Z270"/>
  <c r="AA270"/>
  <c r="AB270"/>
  <c r="AC270"/>
  <c r="A271"/>
  <c r="B271"/>
  <c r="C271"/>
  <c r="D271"/>
  <c r="E271"/>
  <c r="F271"/>
  <c r="G271"/>
  <c r="H271"/>
  <c r="I271"/>
  <c r="J271"/>
  <c r="K271"/>
  <c r="L271"/>
  <c r="M271"/>
  <c r="N271"/>
  <c r="O271"/>
  <c r="P271"/>
  <c r="Q271"/>
  <c r="R271"/>
  <c r="S271"/>
  <c r="T271"/>
  <c r="U271"/>
  <c r="V271"/>
  <c r="W271"/>
  <c r="X271"/>
  <c r="Y271"/>
  <c r="Z271"/>
  <c r="AA271"/>
  <c r="AB271"/>
  <c r="AC271"/>
  <c r="A272"/>
  <c r="B272"/>
  <c r="C272"/>
  <c r="E272"/>
  <c r="D272" s="1"/>
  <c r="F272"/>
  <c r="G272"/>
  <c r="H272"/>
  <c r="I272"/>
  <c r="J272"/>
  <c r="K272"/>
  <c r="L272"/>
  <c r="M272"/>
  <c r="N272"/>
  <c r="O272"/>
  <c r="P272"/>
  <c r="Q272"/>
  <c r="R272"/>
  <c r="S272"/>
  <c r="T272"/>
  <c r="U272"/>
  <c r="V272"/>
  <c r="W272"/>
  <c r="X272"/>
  <c r="Y272"/>
  <c r="Z272"/>
  <c r="AA272"/>
  <c r="AB272"/>
  <c r="AC272"/>
  <c r="A273"/>
  <c r="B273"/>
  <c r="C273"/>
  <c r="E273"/>
  <c r="D273" s="1"/>
  <c r="F273"/>
  <c r="G273"/>
  <c r="H273"/>
  <c r="I273"/>
  <c r="J273"/>
  <c r="K273"/>
  <c r="L273"/>
  <c r="M273"/>
  <c r="N273"/>
  <c r="O273"/>
  <c r="P273"/>
  <c r="Q273"/>
  <c r="R273"/>
  <c r="S273"/>
  <c r="T273"/>
  <c r="U273"/>
  <c r="V273"/>
  <c r="W273"/>
  <c r="X273"/>
  <c r="Y273"/>
  <c r="Z273"/>
  <c r="AA273"/>
  <c r="AB273"/>
  <c r="AC273"/>
  <c r="A274"/>
  <c r="B274"/>
  <c r="C274"/>
  <c r="E274"/>
  <c r="D274" s="1"/>
  <c r="F274"/>
  <c r="G274"/>
  <c r="H274"/>
  <c r="I274"/>
  <c r="J274"/>
  <c r="K274"/>
  <c r="L274"/>
  <c r="M274"/>
  <c r="N274"/>
  <c r="O274"/>
  <c r="P274"/>
  <c r="Q274"/>
  <c r="R274"/>
  <c r="S274"/>
  <c r="T274"/>
  <c r="U274"/>
  <c r="V274"/>
  <c r="W274"/>
  <c r="X274"/>
  <c r="Y274"/>
  <c r="Z274"/>
  <c r="AA274"/>
  <c r="AB274"/>
  <c r="AC274"/>
  <c r="A275"/>
  <c r="B275"/>
  <c r="C275"/>
  <c r="E275"/>
  <c r="D275" s="1"/>
  <c r="F275"/>
  <c r="G275"/>
  <c r="H275"/>
  <c r="I275"/>
  <c r="J275"/>
  <c r="K275"/>
  <c r="L275"/>
  <c r="M275"/>
  <c r="N275"/>
  <c r="O275"/>
  <c r="P275"/>
  <c r="Q275"/>
  <c r="R275"/>
  <c r="S275"/>
  <c r="T275"/>
  <c r="U275"/>
  <c r="V275"/>
  <c r="W275"/>
  <c r="X275"/>
  <c r="Y275"/>
  <c r="Z275"/>
  <c r="AA275"/>
  <c r="AB275"/>
  <c r="AC275"/>
  <c r="A276"/>
  <c r="B276"/>
  <c r="C276"/>
  <c r="E276"/>
  <c r="D276" s="1"/>
  <c r="F276"/>
  <c r="G276"/>
  <c r="H276"/>
  <c r="I276"/>
  <c r="J276"/>
  <c r="K276"/>
  <c r="L276"/>
  <c r="M276"/>
  <c r="N276"/>
  <c r="O276"/>
  <c r="P276"/>
  <c r="Q276"/>
  <c r="R276"/>
  <c r="S276"/>
  <c r="T276"/>
  <c r="U276"/>
  <c r="V276"/>
  <c r="W276"/>
  <c r="X276"/>
  <c r="Y276"/>
  <c r="Z276"/>
  <c r="AA276"/>
  <c r="AB276"/>
  <c r="AC276"/>
  <c r="A277"/>
  <c r="B277"/>
  <c r="C277"/>
  <c r="D277"/>
  <c r="E277"/>
  <c r="F277"/>
  <c r="G277"/>
  <c r="H277"/>
  <c r="I277"/>
  <c r="J277"/>
  <c r="K277"/>
  <c r="L277"/>
  <c r="M277"/>
  <c r="N277"/>
  <c r="O277"/>
  <c r="P277"/>
  <c r="Q277"/>
  <c r="R277"/>
  <c r="S277"/>
  <c r="T277"/>
  <c r="U277"/>
  <c r="V277"/>
  <c r="W277"/>
  <c r="X277"/>
  <c r="Y277"/>
  <c r="Z277"/>
  <c r="AA277"/>
  <c r="AB277"/>
  <c r="AC277"/>
  <c r="A278"/>
  <c r="B278"/>
  <c r="C278"/>
  <c r="E278"/>
  <c r="D278" s="1"/>
  <c r="F278"/>
  <c r="G278"/>
  <c r="H278"/>
  <c r="I278"/>
  <c r="J278"/>
  <c r="K278"/>
  <c r="L278"/>
  <c r="M278"/>
  <c r="N278"/>
  <c r="O278"/>
  <c r="P278"/>
  <c r="Q278"/>
  <c r="R278"/>
  <c r="S278"/>
  <c r="T278"/>
  <c r="U278"/>
  <c r="V278"/>
  <c r="W278"/>
  <c r="X278"/>
  <c r="Y278"/>
  <c r="Z278"/>
  <c r="AA278"/>
  <c r="AB278"/>
  <c r="AC278"/>
  <c r="A279"/>
  <c r="B279"/>
  <c r="C279"/>
  <c r="D279"/>
  <c r="E279"/>
  <c r="F279"/>
  <c r="G279"/>
  <c r="H279"/>
  <c r="I279"/>
  <c r="J279"/>
  <c r="K279"/>
  <c r="L279"/>
  <c r="M279"/>
  <c r="N279"/>
  <c r="O279"/>
  <c r="P279"/>
  <c r="Q279"/>
  <c r="R279"/>
  <c r="S279"/>
  <c r="T279"/>
  <c r="U279"/>
  <c r="V279"/>
  <c r="W279"/>
  <c r="X279"/>
  <c r="Y279"/>
  <c r="Z279"/>
  <c r="AA279"/>
  <c r="AB279"/>
  <c r="AC279"/>
  <c r="A280"/>
  <c r="B280"/>
  <c r="C280"/>
  <c r="E280"/>
  <c r="D280" s="1"/>
  <c r="F280"/>
  <c r="G280"/>
  <c r="H280"/>
  <c r="I280"/>
  <c r="J280"/>
  <c r="K280"/>
  <c r="L280"/>
  <c r="M280"/>
  <c r="N280"/>
  <c r="O280"/>
  <c r="P280"/>
  <c r="Q280"/>
  <c r="R280"/>
  <c r="S280"/>
  <c r="T280"/>
  <c r="U280"/>
  <c r="V280"/>
  <c r="W280"/>
  <c r="X280"/>
  <c r="Y280"/>
  <c r="Z280"/>
  <c r="AA280"/>
  <c r="AB280"/>
  <c r="AC280"/>
  <c r="A281"/>
  <c r="B281"/>
  <c r="C281"/>
  <c r="E281"/>
  <c r="D281" s="1"/>
  <c r="F281"/>
  <c r="G281"/>
  <c r="H281"/>
  <c r="I281"/>
  <c r="J281"/>
  <c r="K281"/>
  <c r="L281"/>
  <c r="M281"/>
  <c r="N281"/>
  <c r="O281"/>
  <c r="P281"/>
  <c r="Q281"/>
  <c r="R281"/>
  <c r="S281"/>
  <c r="T281"/>
  <c r="U281"/>
  <c r="V281"/>
  <c r="W281"/>
  <c r="X281"/>
  <c r="Y281"/>
  <c r="Z281"/>
  <c r="AA281"/>
  <c r="AB281"/>
  <c r="AC281"/>
  <c r="A282"/>
  <c r="B282"/>
  <c r="C282"/>
  <c r="E282"/>
  <c r="D282" s="1"/>
  <c r="F282"/>
  <c r="G282"/>
  <c r="H282"/>
  <c r="I282"/>
  <c r="J282"/>
  <c r="K282"/>
  <c r="L282"/>
  <c r="M282"/>
  <c r="N282"/>
  <c r="O282"/>
  <c r="P282"/>
  <c r="Q282"/>
  <c r="R282"/>
  <c r="S282"/>
  <c r="T282"/>
  <c r="U282"/>
  <c r="V282"/>
  <c r="W282"/>
  <c r="X282"/>
  <c r="Y282"/>
  <c r="Z282"/>
  <c r="AA282"/>
  <c r="AB282"/>
  <c r="AC282"/>
  <c r="A283"/>
  <c r="B283"/>
  <c r="C283"/>
  <c r="E283"/>
  <c r="D283" s="1"/>
  <c r="F283"/>
  <c r="G283"/>
  <c r="H283"/>
  <c r="I283"/>
  <c r="J283"/>
  <c r="K283"/>
  <c r="L283"/>
  <c r="M283"/>
  <c r="N283"/>
  <c r="O283"/>
  <c r="P283"/>
  <c r="Q283"/>
  <c r="R283"/>
  <c r="S283"/>
  <c r="T283"/>
  <c r="U283"/>
  <c r="V283"/>
  <c r="W283"/>
  <c r="X283"/>
  <c r="Y283"/>
  <c r="Z283"/>
  <c r="AA283"/>
  <c r="AB283"/>
  <c r="AC283"/>
  <c r="A284"/>
  <c r="B284"/>
  <c r="C284"/>
  <c r="E284"/>
  <c r="D284" s="1"/>
  <c r="F284"/>
  <c r="G284"/>
  <c r="H284"/>
  <c r="I284"/>
  <c r="J284"/>
  <c r="K284"/>
  <c r="L284"/>
  <c r="M284"/>
  <c r="N284"/>
  <c r="O284"/>
  <c r="P284"/>
  <c r="Q284"/>
  <c r="R284"/>
  <c r="S284"/>
  <c r="T284"/>
  <c r="U284"/>
  <c r="V284"/>
  <c r="W284"/>
  <c r="X284"/>
  <c r="Y284"/>
  <c r="Z284"/>
  <c r="AA284"/>
  <c r="AB284"/>
  <c r="AC284"/>
  <c r="A285"/>
  <c r="B285"/>
  <c r="C285"/>
  <c r="D285"/>
  <c r="E285"/>
  <c r="F285"/>
  <c r="G285"/>
  <c r="H285"/>
  <c r="I285"/>
  <c r="J285"/>
  <c r="K285"/>
  <c r="L285"/>
  <c r="M285"/>
  <c r="N285"/>
  <c r="O285"/>
  <c r="P285"/>
  <c r="Q285"/>
  <c r="R285"/>
  <c r="S285"/>
  <c r="T285"/>
  <c r="U285"/>
  <c r="V285"/>
  <c r="W285"/>
  <c r="X285"/>
  <c r="Y285"/>
  <c r="Z285"/>
  <c r="AA285"/>
  <c r="AB285"/>
  <c r="AC285"/>
  <c r="A286"/>
  <c r="B286"/>
  <c r="C286"/>
  <c r="E286"/>
  <c r="D286" s="1"/>
  <c r="F286"/>
  <c r="G286"/>
  <c r="H286"/>
  <c r="I286"/>
  <c r="J286"/>
  <c r="K286"/>
  <c r="L286"/>
  <c r="M286"/>
  <c r="N286"/>
  <c r="O286"/>
  <c r="P286"/>
  <c r="Q286"/>
  <c r="R286"/>
  <c r="S286"/>
  <c r="T286"/>
  <c r="U286"/>
  <c r="V286"/>
  <c r="W286"/>
  <c r="X286"/>
  <c r="Y286"/>
  <c r="Z286"/>
  <c r="AA286"/>
  <c r="AB286"/>
  <c r="AC286"/>
  <c r="A287"/>
  <c r="B287"/>
  <c r="C287"/>
  <c r="D287"/>
  <c r="E287"/>
  <c r="F287"/>
  <c r="G287"/>
  <c r="H287"/>
  <c r="I287"/>
  <c r="J287"/>
  <c r="K287"/>
  <c r="L287"/>
  <c r="M287"/>
  <c r="N287"/>
  <c r="O287"/>
  <c r="P287"/>
  <c r="Q287"/>
  <c r="R287"/>
  <c r="S287"/>
  <c r="T287"/>
  <c r="U287"/>
  <c r="V287"/>
  <c r="W287"/>
  <c r="X287"/>
  <c r="Y287"/>
  <c r="Z287"/>
  <c r="AA287"/>
  <c r="AB287"/>
  <c r="AC287"/>
  <c r="A288"/>
  <c r="B288"/>
  <c r="C288"/>
  <c r="E288"/>
  <c r="D288" s="1"/>
  <c r="F288"/>
  <c r="G288"/>
  <c r="H288"/>
  <c r="I288"/>
  <c r="J288"/>
  <c r="K288"/>
  <c r="L288"/>
  <c r="M288"/>
  <c r="N288"/>
  <c r="O288"/>
  <c r="P288"/>
  <c r="Q288"/>
  <c r="R288"/>
  <c r="S288"/>
  <c r="T288"/>
  <c r="U288"/>
  <c r="V288"/>
  <c r="W288"/>
  <c r="X288"/>
  <c r="Y288"/>
  <c r="Z288"/>
  <c r="AA288"/>
  <c r="AB288"/>
  <c r="AC288"/>
  <c r="A289"/>
  <c r="B289"/>
  <c r="C289"/>
  <c r="E289"/>
  <c r="D289" s="1"/>
  <c r="F289"/>
  <c r="G289"/>
  <c r="H289"/>
  <c r="I289"/>
  <c r="J289"/>
  <c r="K289"/>
  <c r="L289"/>
  <c r="M289"/>
  <c r="N289"/>
  <c r="O289"/>
  <c r="P289"/>
  <c r="Q289"/>
  <c r="R289"/>
  <c r="S289"/>
  <c r="T289"/>
  <c r="U289"/>
  <c r="V289"/>
  <c r="W289"/>
  <c r="X289"/>
  <c r="Y289"/>
  <c r="Z289"/>
  <c r="AA289"/>
  <c r="AB289"/>
  <c r="AC289"/>
  <c r="A290"/>
  <c r="B290"/>
  <c r="C290"/>
  <c r="E290"/>
  <c r="D290" s="1"/>
  <c r="F290"/>
  <c r="G290"/>
  <c r="H290"/>
  <c r="I290"/>
  <c r="J290"/>
  <c r="K290"/>
  <c r="L290"/>
  <c r="M290"/>
  <c r="N290"/>
  <c r="O290"/>
  <c r="P290"/>
  <c r="Q290"/>
  <c r="R290"/>
  <c r="S290"/>
  <c r="T290"/>
  <c r="U290"/>
  <c r="V290"/>
  <c r="W290"/>
  <c r="X290"/>
  <c r="Y290"/>
  <c r="Z290"/>
  <c r="AA290"/>
  <c r="AB290"/>
  <c r="AC290"/>
  <c r="A291"/>
  <c r="B291"/>
  <c r="C291"/>
  <c r="E291"/>
  <c r="D291" s="1"/>
  <c r="F291"/>
  <c r="G291"/>
  <c r="H291"/>
  <c r="I291"/>
  <c r="J291"/>
  <c r="K291"/>
  <c r="L291"/>
  <c r="M291"/>
  <c r="N291"/>
  <c r="O291"/>
  <c r="P291"/>
  <c r="Q291"/>
  <c r="R291"/>
  <c r="S291"/>
  <c r="T291"/>
  <c r="U291"/>
  <c r="V291"/>
  <c r="W291"/>
  <c r="X291"/>
  <c r="Y291"/>
  <c r="Z291"/>
  <c r="AA291"/>
  <c r="AB291"/>
  <c r="AC291"/>
  <c r="A292"/>
  <c r="B292"/>
  <c r="C292"/>
  <c r="E292"/>
  <c r="D292" s="1"/>
  <c r="F292"/>
  <c r="G292"/>
  <c r="H292"/>
  <c r="I292"/>
  <c r="J292"/>
  <c r="K292"/>
  <c r="L292"/>
  <c r="M292"/>
  <c r="N292"/>
  <c r="O292"/>
  <c r="P292"/>
  <c r="Q292"/>
  <c r="R292"/>
  <c r="S292"/>
  <c r="T292"/>
  <c r="U292"/>
  <c r="V292"/>
  <c r="W292"/>
  <c r="X292"/>
  <c r="Y292"/>
  <c r="Z292"/>
  <c r="AA292"/>
  <c r="AB292"/>
  <c r="AC292"/>
  <c r="A293"/>
  <c r="B293"/>
  <c r="C293"/>
  <c r="D293"/>
  <c r="E293"/>
  <c r="F293"/>
  <c r="G293"/>
  <c r="H293"/>
  <c r="I293"/>
  <c r="J293"/>
  <c r="K293"/>
  <c r="L293"/>
  <c r="M293"/>
  <c r="N293"/>
  <c r="O293"/>
  <c r="P293"/>
  <c r="Q293"/>
  <c r="R293"/>
  <c r="S293"/>
  <c r="T293"/>
  <c r="U293"/>
  <c r="V293"/>
  <c r="W293"/>
  <c r="X293"/>
  <c r="Y293"/>
  <c r="Z293"/>
  <c r="AA293"/>
  <c r="AB293"/>
  <c r="AC293"/>
  <c r="A294"/>
  <c r="B294"/>
  <c r="C294"/>
  <c r="E294"/>
  <c r="D294" s="1"/>
  <c r="F294"/>
  <c r="G294"/>
  <c r="H294"/>
  <c r="I294"/>
  <c r="J294"/>
  <c r="K294"/>
  <c r="L294"/>
  <c r="M294"/>
  <c r="N294"/>
  <c r="O294"/>
  <c r="P294"/>
  <c r="Q294"/>
  <c r="R294"/>
  <c r="S294"/>
  <c r="T294"/>
  <c r="U294"/>
  <c r="V294"/>
  <c r="W294"/>
  <c r="X294"/>
  <c r="Y294"/>
  <c r="Z294"/>
  <c r="AA294"/>
  <c r="AB294"/>
  <c r="AC294"/>
  <c r="A295"/>
  <c r="B295"/>
  <c r="C295"/>
  <c r="D295"/>
  <c r="E295"/>
  <c r="F295"/>
  <c r="G295"/>
  <c r="H295"/>
  <c r="I295"/>
  <c r="J295"/>
  <c r="K295"/>
  <c r="L295"/>
  <c r="M295"/>
  <c r="N295"/>
  <c r="O295"/>
  <c r="P295"/>
  <c r="Q295"/>
  <c r="R295"/>
  <c r="S295"/>
  <c r="T295"/>
  <c r="U295"/>
  <c r="V295"/>
  <c r="W295"/>
  <c r="X295"/>
  <c r="Y295"/>
  <c r="Z295"/>
  <c r="AA295"/>
  <c r="AB295"/>
  <c r="AC295"/>
  <c r="A296"/>
  <c r="B296"/>
  <c r="C296"/>
  <c r="E296"/>
  <c r="D296" s="1"/>
  <c r="F296"/>
  <c r="G296"/>
  <c r="H296"/>
  <c r="I296"/>
  <c r="J296"/>
  <c r="K296"/>
  <c r="L296"/>
  <c r="M296"/>
  <c r="N296"/>
  <c r="O296"/>
  <c r="P296"/>
  <c r="Q296"/>
  <c r="R296"/>
  <c r="S296"/>
  <c r="T296"/>
  <c r="U296"/>
  <c r="V296"/>
  <c r="W296"/>
  <c r="X296"/>
  <c r="Y296"/>
  <c r="Z296"/>
  <c r="AA296"/>
  <c r="AB296"/>
  <c r="AC296"/>
  <c r="A297"/>
  <c r="B297"/>
  <c r="C297"/>
  <c r="E297"/>
  <c r="D297" s="1"/>
  <c r="F297"/>
  <c r="G297"/>
  <c r="H297"/>
  <c r="I297"/>
  <c r="J297"/>
  <c r="K297"/>
  <c r="L297"/>
  <c r="M297"/>
  <c r="N297"/>
  <c r="O297"/>
  <c r="P297"/>
  <c r="Q297"/>
  <c r="R297"/>
  <c r="S297"/>
  <c r="T297"/>
  <c r="U297"/>
  <c r="V297"/>
  <c r="W297"/>
  <c r="X297"/>
  <c r="Y297"/>
  <c r="Z297"/>
  <c r="AA297"/>
  <c r="AB297"/>
  <c r="AC297"/>
  <c r="A298"/>
  <c r="B298"/>
  <c r="C298"/>
  <c r="E298"/>
  <c r="D298" s="1"/>
  <c r="F298"/>
  <c r="G298"/>
  <c r="H298"/>
  <c r="I298"/>
  <c r="J298"/>
  <c r="K298"/>
  <c r="L298"/>
  <c r="M298"/>
  <c r="N298"/>
  <c r="O298"/>
  <c r="P298"/>
  <c r="Q298"/>
  <c r="R298"/>
  <c r="S298"/>
  <c r="T298"/>
  <c r="U298"/>
  <c r="V298"/>
  <c r="W298"/>
  <c r="X298"/>
  <c r="Y298"/>
  <c r="Z298"/>
  <c r="AA298"/>
  <c r="AB298"/>
  <c r="AC298"/>
  <c r="A299"/>
  <c r="B299"/>
  <c r="C299"/>
  <c r="E299"/>
  <c r="D299" s="1"/>
  <c r="F299"/>
  <c r="G299"/>
  <c r="H299"/>
  <c r="I299"/>
  <c r="J299"/>
  <c r="K299"/>
  <c r="L299"/>
  <c r="M299"/>
  <c r="N299"/>
  <c r="O299"/>
  <c r="P299"/>
  <c r="Q299"/>
  <c r="R299"/>
  <c r="S299"/>
  <c r="T299"/>
  <c r="U299"/>
  <c r="V299"/>
  <c r="W299"/>
  <c r="X299"/>
  <c r="Y299"/>
  <c r="Z299"/>
  <c r="AA299"/>
  <c r="AB299"/>
  <c r="AC299"/>
  <c r="A300"/>
  <c r="B300"/>
  <c r="C300"/>
  <c r="E300"/>
  <c r="D300" s="1"/>
  <c r="F300"/>
  <c r="G300"/>
  <c r="H300"/>
  <c r="I300"/>
  <c r="J300"/>
  <c r="K300"/>
  <c r="L300"/>
  <c r="M300"/>
  <c r="N300"/>
  <c r="O300"/>
  <c r="P300"/>
  <c r="Q300"/>
  <c r="R300"/>
  <c r="S300"/>
  <c r="T300"/>
  <c r="U300"/>
  <c r="V300"/>
  <c r="W300"/>
  <c r="X300"/>
  <c r="Y300"/>
  <c r="Z300"/>
  <c r="AA300"/>
  <c r="AB300"/>
  <c r="AC300"/>
  <c r="A301"/>
  <c r="B301"/>
  <c r="C301"/>
  <c r="D301"/>
  <c r="E301"/>
  <c r="F301"/>
  <c r="G301"/>
  <c r="H301"/>
  <c r="I301"/>
  <c r="J301"/>
  <c r="K301"/>
  <c r="L301"/>
  <c r="M301"/>
  <c r="N301"/>
  <c r="O301"/>
  <c r="P301"/>
  <c r="Q301"/>
  <c r="R301"/>
  <c r="S301"/>
  <c r="T301"/>
  <c r="U301"/>
  <c r="V301"/>
  <c r="W301"/>
  <c r="X301"/>
  <c r="Y301"/>
  <c r="Z301"/>
  <c r="AA301"/>
  <c r="AB301"/>
  <c r="AC301"/>
  <c r="A302"/>
  <c r="B302"/>
  <c r="C302"/>
  <c r="E302"/>
  <c r="D302" s="1"/>
  <c r="F302"/>
  <c r="G302"/>
  <c r="H302"/>
  <c r="I302"/>
  <c r="J302"/>
  <c r="K302"/>
  <c r="L302"/>
  <c r="M302"/>
  <c r="N302"/>
  <c r="O302"/>
  <c r="P302"/>
  <c r="Q302"/>
  <c r="R302"/>
  <c r="S302"/>
  <c r="T302"/>
  <c r="U302"/>
  <c r="V302"/>
  <c r="W302"/>
  <c r="X302"/>
  <c r="Y302"/>
  <c r="Z302"/>
  <c r="AA302"/>
  <c r="AB302"/>
  <c r="AC302"/>
  <c r="A303"/>
  <c r="B303"/>
  <c r="C303"/>
  <c r="D303"/>
  <c r="E303"/>
  <c r="F303"/>
  <c r="G303"/>
  <c r="H303"/>
  <c r="I303"/>
  <c r="J303"/>
  <c r="K303"/>
  <c r="L303"/>
  <c r="M303"/>
  <c r="N303"/>
  <c r="O303"/>
  <c r="P303"/>
  <c r="Q303"/>
  <c r="R303"/>
  <c r="S303"/>
  <c r="T303"/>
  <c r="U303"/>
  <c r="V303"/>
  <c r="W303"/>
  <c r="X303"/>
  <c r="Y303"/>
  <c r="Z303"/>
  <c r="AA303"/>
  <c r="AB303"/>
  <c r="AC303"/>
  <c r="A304"/>
  <c r="B304"/>
  <c r="C304"/>
  <c r="E304"/>
  <c r="D304" s="1"/>
  <c r="F304"/>
  <c r="G304"/>
  <c r="H304"/>
  <c r="I304"/>
  <c r="J304"/>
  <c r="K304"/>
  <c r="L304"/>
  <c r="M304"/>
  <c r="N304"/>
  <c r="O304"/>
  <c r="P304"/>
  <c r="Q304"/>
  <c r="R304"/>
  <c r="S304"/>
  <c r="T304"/>
  <c r="U304"/>
  <c r="V304"/>
  <c r="W304"/>
  <c r="X304"/>
  <c r="Y304"/>
  <c r="Z304"/>
  <c r="AA304"/>
  <c r="AB304"/>
  <c r="AC304"/>
  <c r="A305"/>
  <c r="B305"/>
  <c r="C305"/>
  <c r="E305"/>
  <c r="D305" s="1"/>
  <c r="F305"/>
  <c r="G305"/>
  <c r="H305"/>
  <c r="I305"/>
  <c r="J305"/>
  <c r="K305"/>
  <c r="L305"/>
  <c r="M305"/>
  <c r="N305"/>
  <c r="O305"/>
  <c r="P305"/>
  <c r="Q305"/>
  <c r="R305"/>
  <c r="S305"/>
  <c r="T305"/>
  <c r="U305"/>
  <c r="V305"/>
  <c r="W305"/>
  <c r="X305"/>
  <c r="Y305"/>
  <c r="Z305"/>
  <c r="AA305"/>
  <c r="AB305"/>
  <c r="AC305"/>
  <c r="A306"/>
  <c r="B306"/>
  <c r="C306"/>
  <c r="E306"/>
  <c r="D306" s="1"/>
  <c r="F306"/>
  <c r="G306"/>
  <c r="H306"/>
  <c r="I306"/>
  <c r="J306"/>
  <c r="K306"/>
  <c r="L306"/>
  <c r="M306"/>
  <c r="N306"/>
  <c r="O306"/>
  <c r="P306"/>
  <c r="Q306"/>
  <c r="R306"/>
  <c r="S306"/>
  <c r="T306"/>
  <c r="U306"/>
  <c r="V306"/>
  <c r="W306"/>
  <c r="X306"/>
  <c r="Y306"/>
  <c r="Z306"/>
  <c r="AA306"/>
  <c r="AB306"/>
  <c r="AC306"/>
  <c r="A307"/>
  <c r="B307"/>
  <c r="C307"/>
  <c r="E307"/>
  <c r="D307" s="1"/>
  <c r="F307"/>
  <c r="G307"/>
  <c r="H307"/>
  <c r="I307"/>
  <c r="J307"/>
  <c r="K307"/>
  <c r="L307"/>
  <c r="M307"/>
  <c r="N307"/>
  <c r="O307"/>
  <c r="P307"/>
  <c r="Q307"/>
  <c r="R307"/>
  <c r="S307"/>
  <c r="T307"/>
  <c r="U307"/>
  <c r="V307"/>
  <c r="W307"/>
  <c r="X307"/>
  <c r="Y307"/>
  <c r="Z307"/>
  <c r="AA307"/>
  <c r="AB307"/>
  <c r="AC307"/>
  <c r="A308"/>
  <c r="B308"/>
  <c r="C308"/>
  <c r="E308"/>
  <c r="D308" s="1"/>
  <c r="F308"/>
  <c r="G308"/>
  <c r="H308"/>
  <c r="I308"/>
  <c r="J308"/>
  <c r="K308"/>
  <c r="L308"/>
  <c r="M308"/>
  <c r="N308"/>
  <c r="O308"/>
  <c r="P308"/>
  <c r="Q308"/>
  <c r="R308"/>
  <c r="S308"/>
  <c r="T308"/>
  <c r="U308"/>
  <c r="V308"/>
  <c r="W308"/>
  <c r="X308"/>
  <c r="Y308"/>
  <c r="Z308"/>
  <c r="AA308"/>
  <c r="AB308"/>
  <c r="AC308"/>
  <c r="A309"/>
  <c r="B309"/>
  <c r="C309"/>
  <c r="D309"/>
  <c r="E309"/>
  <c r="F309"/>
  <c r="G309"/>
  <c r="H309"/>
  <c r="I309"/>
  <c r="J309"/>
  <c r="K309"/>
  <c r="L309"/>
  <c r="M309"/>
  <c r="N309"/>
  <c r="O309"/>
  <c r="P309"/>
  <c r="Q309"/>
  <c r="R309"/>
  <c r="S309"/>
  <c r="T309"/>
  <c r="U309"/>
  <c r="V309"/>
  <c r="W309"/>
  <c r="X309"/>
  <c r="Y309"/>
  <c r="Z309"/>
  <c r="AA309"/>
  <c r="AB309"/>
  <c r="AC309"/>
  <c r="A310"/>
  <c r="B310"/>
  <c r="C310"/>
  <c r="E310"/>
  <c r="D310" s="1"/>
  <c r="F310"/>
  <c r="G310"/>
  <c r="H310"/>
  <c r="I310"/>
  <c r="J310"/>
  <c r="K310"/>
  <c r="L310"/>
  <c r="M310"/>
  <c r="N310"/>
  <c r="O310"/>
  <c r="P310"/>
  <c r="Q310"/>
  <c r="R310"/>
  <c r="S310"/>
  <c r="T310"/>
  <c r="U310"/>
  <c r="V310"/>
  <c r="W310"/>
  <c r="X310"/>
  <c r="Y310"/>
  <c r="Z310"/>
  <c r="AA310"/>
  <c r="AB310"/>
  <c r="AC310"/>
  <c r="A311"/>
  <c r="B311"/>
  <c r="C311"/>
  <c r="D311"/>
  <c r="E311"/>
  <c r="F311"/>
  <c r="G311"/>
  <c r="H311"/>
  <c r="I311"/>
  <c r="J311"/>
  <c r="K311"/>
  <c r="L311"/>
  <c r="M311"/>
  <c r="N311"/>
  <c r="O311"/>
  <c r="P311"/>
  <c r="Q311"/>
  <c r="R311"/>
  <c r="S311"/>
  <c r="T311"/>
  <c r="U311"/>
  <c r="V311"/>
  <c r="W311"/>
  <c r="X311"/>
  <c r="Y311"/>
  <c r="Z311"/>
  <c r="AA311"/>
  <c r="AB311"/>
  <c r="AC311"/>
  <c r="A312"/>
  <c r="B312"/>
  <c r="C312"/>
  <c r="E312"/>
  <c r="D312" s="1"/>
  <c r="F312"/>
  <c r="G312"/>
  <c r="H312"/>
  <c r="I312"/>
  <c r="J312"/>
  <c r="K312"/>
  <c r="L312"/>
  <c r="M312"/>
  <c r="N312"/>
  <c r="O312"/>
  <c r="P312"/>
  <c r="Q312"/>
  <c r="R312"/>
  <c r="S312"/>
  <c r="T312"/>
  <c r="U312"/>
  <c r="V312"/>
  <c r="W312"/>
  <c r="X312"/>
  <c r="Y312"/>
  <c r="Z312"/>
  <c r="AA312"/>
  <c r="AB312"/>
  <c r="AC312"/>
  <c r="A313"/>
  <c r="B313"/>
  <c r="C313"/>
  <c r="E313"/>
  <c r="D313" s="1"/>
  <c r="F313"/>
  <c r="G313"/>
  <c r="H313"/>
  <c r="I313"/>
  <c r="J313"/>
  <c r="K313"/>
  <c r="L313"/>
  <c r="M313"/>
  <c r="N313"/>
  <c r="O313"/>
  <c r="P313"/>
  <c r="Q313"/>
  <c r="R313"/>
  <c r="S313"/>
  <c r="T313"/>
  <c r="U313"/>
  <c r="V313"/>
  <c r="W313"/>
  <c r="X313"/>
  <c r="Y313"/>
  <c r="Z313"/>
  <c r="AA313"/>
  <c r="AB313"/>
  <c r="AC313"/>
  <c r="A314"/>
  <c r="B314"/>
  <c r="C314"/>
  <c r="E314"/>
  <c r="D314" s="1"/>
  <c r="F314"/>
  <c r="G314"/>
  <c r="H314"/>
  <c r="I314"/>
  <c r="J314"/>
  <c r="K314"/>
  <c r="L314"/>
  <c r="M314"/>
  <c r="N314"/>
  <c r="O314"/>
  <c r="P314"/>
  <c r="Q314"/>
  <c r="R314"/>
  <c r="S314"/>
  <c r="T314"/>
  <c r="U314"/>
  <c r="V314"/>
  <c r="W314"/>
  <c r="X314"/>
  <c r="Y314"/>
  <c r="Z314"/>
  <c r="AA314"/>
  <c r="AB314"/>
  <c r="AC314"/>
  <c r="A315"/>
  <c r="B315"/>
  <c r="C315"/>
  <c r="E315"/>
  <c r="D315" s="1"/>
  <c r="F315"/>
  <c r="G315"/>
  <c r="H315"/>
  <c r="I315"/>
  <c r="J315"/>
  <c r="K315"/>
  <c r="L315"/>
  <c r="M315"/>
  <c r="N315"/>
  <c r="O315"/>
  <c r="P315"/>
  <c r="Q315"/>
  <c r="R315"/>
  <c r="S315"/>
  <c r="T315"/>
  <c r="U315"/>
  <c r="V315"/>
  <c r="W315"/>
  <c r="X315"/>
  <c r="Y315"/>
  <c r="Z315"/>
  <c r="AA315"/>
  <c r="AB315"/>
  <c r="AC315"/>
  <c r="A316"/>
  <c r="B316"/>
  <c r="C316"/>
  <c r="E316"/>
  <c r="D316" s="1"/>
  <c r="F316"/>
  <c r="G316"/>
  <c r="H316"/>
  <c r="I316"/>
  <c r="J316"/>
  <c r="K316"/>
  <c r="L316"/>
  <c r="M316"/>
  <c r="N316"/>
  <c r="O316"/>
  <c r="P316"/>
  <c r="Q316"/>
  <c r="R316"/>
  <c r="S316"/>
  <c r="T316"/>
  <c r="U316"/>
  <c r="V316"/>
  <c r="W316"/>
  <c r="X316"/>
  <c r="Y316"/>
  <c r="Z316"/>
  <c r="AA316"/>
  <c r="AB316"/>
  <c r="AC316"/>
  <c r="A317"/>
  <c r="B317"/>
  <c r="C317"/>
  <c r="D317"/>
  <c r="E317"/>
  <c r="F317"/>
  <c r="G317"/>
  <c r="H317"/>
  <c r="I317"/>
  <c r="J317"/>
  <c r="K317"/>
  <c r="L317"/>
  <c r="M317"/>
  <c r="N317"/>
  <c r="O317"/>
  <c r="P317"/>
  <c r="Q317"/>
  <c r="R317"/>
  <c r="S317"/>
  <c r="T317"/>
  <c r="U317"/>
  <c r="V317"/>
  <c r="W317"/>
  <c r="X317"/>
  <c r="Y317"/>
  <c r="Z317"/>
  <c r="AA317"/>
  <c r="AB317"/>
  <c r="AC317"/>
  <c r="A318"/>
  <c r="B318"/>
  <c r="C318"/>
  <c r="E318"/>
  <c r="D318" s="1"/>
  <c r="F318"/>
  <c r="G318"/>
  <c r="H318"/>
  <c r="I318"/>
  <c r="J318"/>
  <c r="K318"/>
  <c r="L318"/>
  <c r="M318"/>
  <c r="N318"/>
  <c r="O318"/>
  <c r="P318"/>
  <c r="Q318"/>
  <c r="R318"/>
  <c r="S318"/>
  <c r="T318"/>
  <c r="U318"/>
  <c r="V318"/>
  <c r="W318"/>
  <c r="X318"/>
  <c r="Y318"/>
  <c r="Z318"/>
  <c r="AA318"/>
  <c r="AB318"/>
  <c r="AC318"/>
  <c r="A319"/>
  <c r="B319"/>
  <c r="C319"/>
  <c r="D319"/>
  <c r="E319"/>
  <c r="F319"/>
  <c r="G319"/>
  <c r="H319"/>
  <c r="I319"/>
  <c r="J319"/>
  <c r="K319"/>
  <c r="L319"/>
  <c r="M319"/>
  <c r="N319"/>
  <c r="O319"/>
  <c r="P319"/>
  <c r="Q319"/>
  <c r="R319"/>
  <c r="S319"/>
  <c r="T319"/>
  <c r="U319"/>
  <c r="V319"/>
  <c r="W319"/>
  <c r="X319"/>
  <c r="Y319"/>
  <c r="Z319"/>
  <c r="AA319"/>
  <c r="AB319"/>
  <c r="AC319"/>
  <c r="A320"/>
  <c r="B320"/>
  <c r="C320"/>
  <c r="E320"/>
  <c r="D320" s="1"/>
  <c r="F320"/>
  <c r="G320"/>
  <c r="H320"/>
  <c r="I320"/>
  <c r="J320"/>
  <c r="K320"/>
  <c r="L320"/>
  <c r="M320"/>
  <c r="N320"/>
  <c r="O320"/>
  <c r="P320"/>
  <c r="Q320"/>
  <c r="R320"/>
  <c r="S320"/>
  <c r="T320"/>
  <c r="U320"/>
  <c r="V320"/>
  <c r="W320"/>
  <c r="X320"/>
  <c r="Y320"/>
  <c r="Z320"/>
  <c r="AA320"/>
  <c r="AB320"/>
  <c r="AC320"/>
  <c r="A321"/>
  <c r="B321"/>
  <c r="C321"/>
  <c r="E321"/>
  <c r="D321" s="1"/>
  <c r="F321"/>
  <c r="G321"/>
  <c r="H321"/>
  <c r="I321"/>
  <c r="J321"/>
  <c r="K321"/>
  <c r="L321"/>
  <c r="M321"/>
  <c r="N321"/>
  <c r="O321"/>
  <c r="P321"/>
  <c r="Q321"/>
  <c r="R321"/>
  <c r="S321"/>
  <c r="T321"/>
  <c r="U321"/>
  <c r="V321"/>
  <c r="W321"/>
  <c r="X321"/>
  <c r="Y321"/>
  <c r="Z321"/>
  <c r="AA321"/>
  <c r="AB321"/>
  <c r="AC321"/>
  <c r="A322"/>
  <c r="B322"/>
  <c r="C322"/>
  <c r="E322"/>
  <c r="D322" s="1"/>
  <c r="F322"/>
  <c r="G322"/>
  <c r="H322"/>
  <c r="I322"/>
  <c r="J322"/>
  <c r="K322"/>
  <c r="L322"/>
  <c r="M322"/>
  <c r="N322"/>
  <c r="O322"/>
  <c r="P322"/>
  <c r="Q322"/>
  <c r="R322"/>
  <c r="S322"/>
  <c r="T322"/>
  <c r="U322"/>
  <c r="V322"/>
  <c r="W322"/>
  <c r="X322"/>
  <c r="Y322"/>
  <c r="Z322"/>
  <c r="AA322"/>
  <c r="AB322"/>
  <c r="AC322"/>
  <c r="A323"/>
  <c r="B323"/>
  <c r="C323"/>
  <c r="E323"/>
  <c r="D323" s="1"/>
  <c r="F323"/>
  <c r="G323"/>
  <c r="H323"/>
  <c r="I323"/>
  <c r="J323"/>
  <c r="K323"/>
  <c r="L323"/>
  <c r="M323"/>
  <c r="N323"/>
  <c r="O323"/>
  <c r="P323"/>
  <c r="Q323"/>
  <c r="R323"/>
  <c r="S323"/>
  <c r="T323"/>
  <c r="U323"/>
  <c r="V323"/>
  <c r="W323"/>
  <c r="X323"/>
  <c r="Y323"/>
  <c r="Z323"/>
  <c r="AA323"/>
  <c r="AB323"/>
  <c r="AC323"/>
  <c r="A324"/>
  <c r="B324"/>
  <c r="C324"/>
  <c r="E324"/>
  <c r="D324" s="1"/>
  <c r="F324"/>
  <c r="G324"/>
  <c r="H324"/>
  <c r="I324"/>
  <c r="J324"/>
  <c r="K324"/>
  <c r="L324"/>
  <c r="M324"/>
  <c r="N324"/>
  <c r="O324"/>
  <c r="P324"/>
  <c r="Q324"/>
  <c r="R324"/>
  <c r="S324"/>
  <c r="T324"/>
  <c r="U324"/>
  <c r="V324"/>
  <c r="W324"/>
  <c r="X324"/>
  <c r="Y324"/>
  <c r="Z324"/>
  <c r="AA324"/>
  <c r="AB324"/>
  <c r="AC324"/>
  <c r="A325"/>
  <c r="B325"/>
  <c r="C325"/>
  <c r="D325"/>
  <c r="E325"/>
  <c r="F325"/>
  <c r="G325"/>
  <c r="H325"/>
  <c r="I325"/>
  <c r="J325"/>
  <c r="K325"/>
  <c r="L325"/>
  <c r="M325"/>
  <c r="N325"/>
  <c r="O325"/>
  <c r="P325"/>
  <c r="Q325"/>
  <c r="R325"/>
  <c r="S325"/>
  <c r="T325"/>
  <c r="U325"/>
  <c r="V325"/>
  <c r="W325"/>
  <c r="X325"/>
  <c r="Y325"/>
  <c r="Z325"/>
  <c r="AA325"/>
  <c r="AB325"/>
  <c r="AC325"/>
  <c r="A326"/>
  <c r="B326"/>
  <c r="C326"/>
  <c r="E326"/>
  <c r="D326" s="1"/>
  <c r="F326"/>
  <c r="G326"/>
  <c r="H326"/>
  <c r="I326"/>
  <c r="J326"/>
  <c r="K326"/>
  <c r="L326"/>
  <c r="M326"/>
  <c r="N326"/>
  <c r="O326"/>
  <c r="P326"/>
  <c r="Q326"/>
  <c r="R326"/>
  <c r="S326"/>
  <c r="T326"/>
  <c r="U326"/>
  <c r="V326"/>
  <c r="W326"/>
  <c r="X326"/>
  <c r="Y326"/>
  <c r="Z326"/>
  <c r="AA326"/>
  <c r="AB326"/>
  <c r="AC326"/>
  <c r="A327"/>
  <c r="B327"/>
  <c r="C327"/>
  <c r="D327"/>
  <c r="E327"/>
  <c r="F327"/>
  <c r="G327"/>
  <c r="H327"/>
  <c r="I327"/>
  <c r="J327"/>
  <c r="K327"/>
  <c r="L327"/>
  <c r="M327"/>
  <c r="N327"/>
  <c r="O327"/>
  <c r="P327"/>
  <c r="Q327"/>
  <c r="R327"/>
  <c r="S327"/>
  <c r="T327"/>
  <c r="U327"/>
  <c r="V327"/>
  <c r="W327"/>
  <c r="X327"/>
  <c r="Y327"/>
  <c r="Z327"/>
  <c r="AA327"/>
  <c r="AB327"/>
  <c r="AC327"/>
  <c r="A328"/>
  <c r="B328"/>
  <c r="C328"/>
  <c r="E328"/>
  <c r="D328" s="1"/>
  <c r="F328"/>
  <c r="G328"/>
  <c r="H328"/>
  <c r="I328"/>
  <c r="J328"/>
  <c r="K328"/>
  <c r="L328"/>
  <c r="M328"/>
  <c r="N328"/>
  <c r="O328"/>
  <c r="P328"/>
  <c r="Q328"/>
  <c r="R328"/>
  <c r="S328"/>
  <c r="T328"/>
  <c r="U328"/>
  <c r="V328"/>
  <c r="W328"/>
  <c r="X328"/>
  <c r="Y328"/>
  <c r="Z328"/>
  <c r="AA328"/>
  <c r="AB328"/>
  <c r="AC328"/>
  <c r="A329"/>
  <c r="B329"/>
  <c r="C329"/>
  <c r="E329"/>
  <c r="D329" s="1"/>
  <c r="F329"/>
  <c r="G329"/>
  <c r="H329"/>
  <c r="I329"/>
  <c r="J329"/>
  <c r="K329"/>
  <c r="L329"/>
  <c r="M329"/>
  <c r="N329"/>
  <c r="O329"/>
  <c r="P329"/>
  <c r="Q329"/>
  <c r="R329"/>
  <c r="S329"/>
  <c r="T329"/>
  <c r="U329"/>
  <c r="V329"/>
  <c r="W329"/>
  <c r="X329"/>
  <c r="Y329"/>
  <c r="Z329"/>
  <c r="AA329"/>
  <c r="AB329"/>
  <c r="AC329"/>
  <c r="A330"/>
  <c r="B330"/>
  <c r="C330"/>
  <c r="E330"/>
  <c r="D330" s="1"/>
  <c r="F330"/>
  <c r="G330"/>
  <c r="H330"/>
  <c r="I330"/>
  <c r="J330"/>
  <c r="K330"/>
  <c r="L330"/>
  <c r="M330"/>
  <c r="N330"/>
  <c r="O330"/>
  <c r="P330"/>
  <c r="Q330"/>
  <c r="R330"/>
  <c r="S330"/>
  <c r="T330"/>
  <c r="U330"/>
  <c r="V330"/>
  <c r="W330"/>
  <c r="X330"/>
  <c r="Y330"/>
  <c r="Z330"/>
  <c r="AA330"/>
  <c r="AB330"/>
  <c r="AC330"/>
  <c r="A331"/>
  <c r="B331"/>
  <c r="C331"/>
  <c r="E331"/>
  <c r="D331" s="1"/>
  <c r="F331"/>
  <c r="G331"/>
  <c r="H331"/>
  <c r="I331"/>
  <c r="J331"/>
  <c r="K331"/>
  <c r="L331"/>
  <c r="M331"/>
  <c r="N331"/>
  <c r="O331"/>
  <c r="P331"/>
  <c r="Q331"/>
  <c r="R331"/>
  <c r="S331"/>
  <c r="T331"/>
  <c r="U331"/>
  <c r="V331"/>
  <c r="W331"/>
  <c r="X331"/>
  <c r="Y331"/>
  <c r="Z331"/>
  <c r="AA331"/>
  <c r="AB331"/>
  <c r="AC331"/>
  <c r="A332"/>
  <c r="B332"/>
  <c r="C332"/>
  <c r="E332"/>
  <c r="D332" s="1"/>
  <c r="F332"/>
  <c r="G332"/>
  <c r="H332"/>
  <c r="I332"/>
  <c r="J332"/>
  <c r="K332"/>
  <c r="L332"/>
  <c r="M332"/>
  <c r="N332"/>
  <c r="O332"/>
  <c r="P332"/>
  <c r="Q332"/>
  <c r="R332"/>
  <c r="S332"/>
  <c r="T332"/>
  <c r="U332"/>
  <c r="V332"/>
  <c r="W332"/>
  <c r="X332"/>
  <c r="Y332"/>
  <c r="Z332"/>
  <c r="AA332"/>
  <c r="AB332"/>
  <c r="AC332"/>
  <c r="A333"/>
  <c r="B333"/>
  <c r="C333"/>
  <c r="D333"/>
  <c r="E333"/>
  <c r="F333"/>
  <c r="G333"/>
  <c r="H333"/>
  <c r="I333"/>
  <c r="J333"/>
  <c r="K333"/>
  <c r="L333"/>
  <c r="M333"/>
  <c r="N333"/>
  <c r="O333"/>
  <c r="P333"/>
  <c r="Q333"/>
  <c r="R333"/>
  <c r="S333"/>
  <c r="T333"/>
  <c r="U333"/>
  <c r="V333"/>
  <c r="W333"/>
  <c r="X333"/>
  <c r="Y333"/>
  <c r="Z333"/>
  <c r="AA333"/>
  <c r="AB333"/>
  <c r="AC333"/>
  <c r="A334"/>
  <c r="B334"/>
  <c r="C334"/>
  <c r="E334"/>
  <c r="D334" s="1"/>
  <c r="F334"/>
  <c r="G334"/>
  <c r="H334"/>
  <c r="I334"/>
  <c r="J334"/>
  <c r="K334"/>
  <c r="L334"/>
  <c r="M334"/>
  <c r="N334"/>
  <c r="O334"/>
  <c r="P334"/>
  <c r="Q334"/>
  <c r="R334"/>
  <c r="S334"/>
  <c r="T334"/>
  <c r="U334"/>
  <c r="V334"/>
  <c r="W334"/>
  <c r="X334"/>
  <c r="Y334"/>
  <c r="Z334"/>
  <c r="AA334"/>
  <c r="AB334"/>
  <c r="AC334"/>
  <c r="A335"/>
  <c r="B335"/>
  <c r="C335"/>
  <c r="D335"/>
  <c r="E335"/>
  <c r="F335"/>
  <c r="G335"/>
  <c r="H335"/>
  <c r="I335"/>
  <c r="J335"/>
  <c r="K335"/>
  <c r="L335"/>
  <c r="M335"/>
  <c r="N335"/>
  <c r="O335"/>
  <c r="P335"/>
  <c r="Q335"/>
  <c r="R335"/>
  <c r="S335"/>
  <c r="T335"/>
  <c r="U335"/>
  <c r="V335"/>
  <c r="W335"/>
  <c r="X335"/>
  <c r="Y335"/>
  <c r="Z335"/>
  <c r="AA335"/>
  <c r="AB335"/>
  <c r="AC335"/>
  <c r="A336"/>
  <c r="B336"/>
  <c r="C336"/>
  <c r="E336"/>
  <c r="D336" s="1"/>
  <c r="F336"/>
  <c r="G336"/>
  <c r="H336"/>
  <c r="I336"/>
  <c r="J336"/>
  <c r="K336"/>
  <c r="L336"/>
  <c r="M336"/>
  <c r="N336"/>
  <c r="O336"/>
  <c r="P336"/>
  <c r="Q336"/>
  <c r="R336"/>
  <c r="S336"/>
  <c r="T336"/>
  <c r="U336"/>
  <c r="V336"/>
  <c r="W336"/>
  <c r="X336"/>
  <c r="Y336"/>
  <c r="Z336"/>
  <c r="AA336"/>
  <c r="AB336"/>
  <c r="AC336"/>
  <c r="A337"/>
  <c r="B337"/>
  <c r="C337"/>
  <c r="E337"/>
  <c r="D337" s="1"/>
  <c r="F337"/>
  <c r="G337"/>
  <c r="H337"/>
  <c r="I337"/>
  <c r="J337"/>
  <c r="K337"/>
  <c r="L337"/>
  <c r="M337"/>
  <c r="N337"/>
  <c r="O337"/>
  <c r="P337"/>
  <c r="Q337"/>
  <c r="R337"/>
  <c r="S337"/>
  <c r="T337"/>
  <c r="U337"/>
  <c r="V337"/>
  <c r="W337"/>
  <c r="X337"/>
  <c r="Y337"/>
  <c r="Z337"/>
  <c r="AA337"/>
  <c r="AB337"/>
  <c r="AC337"/>
  <c r="A338"/>
  <c r="B338"/>
  <c r="C338"/>
  <c r="E338"/>
  <c r="D338" s="1"/>
  <c r="F338"/>
  <c r="G338"/>
  <c r="H338"/>
  <c r="I338"/>
  <c r="J338"/>
  <c r="K338"/>
  <c r="L338"/>
  <c r="M338"/>
  <c r="N338"/>
  <c r="O338"/>
  <c r="P338"/>
  <c r="Q338"/>
  <c r="R338"/>
  <c r="S338"/>
  <c r="T338"/>
  <c r="U338"/>
  <c r="V338"/>
  <c r="W338"/>
  <c r="X338"/>
  <c r="Y338"/>
  <c r="Z338"/>
  <c r="AA338"/>
  <c r="AB338"/>
  <c r="AC338"/>
  <c r="A339"/>
  <c r="B339"/>
  <c r="C339"/>
  <c r="E339"/>
  <c r="D339" s="1"/>
  <c r="F339"/>
  <c r="G339"/>
  <c r="H339"/>
  <c r="I339"/>
  <c r="J339"/>
  <c r="K339"/>
  <c r="L339"/>
  <c r="M339"/>
  <c r="N339"/>
  <c r="O339"/>
  <c r="P339"/>
  <c r="Q339"/>
  <c r="R339"/>
  <c r="S339"/>
  <c r="T339"/>
  <c r="U339"/>
  <c r="V339"/>
  <c r="W339"/>
  <c r="X339"/>
  <c r="Y339"/>
  <c r="Z339"/>
  <c r="AA339"/>
  <c r="AB339"/>
  <c r="AC339"/>
  <c r="A340"/>
  <c r="B340"/>
  <c r="C340"/>
  <c r="E340"/>
  <c r="D340" s="1"/>
  <c r="F340"/>
  <c r="G340"/>
  <c r="H340"/>
  <c r="I340"/>
  <c r="J340"/>
  <c r="K340"/>
  <c r="L340"/>
  <c r="M340"/>
  <c r="N340"/>
  <c r="O340"/>
  <c r="P340"/>
  <c r="Q340"/>
  <c r="R340"/>
  <c r="S340"/>
  <c r="T340"/>
  <c r="U340"/>
  <c r="V340"/>
  <c r="W340"/>
  <c r="X340"/>
  <c r="Y340"/>
  <c r="Z340"/>
  <c r="AA340"/>
  <c r="AB340"/>
  <c r="AC340"/>
  <c r="A341"/>
  <c r="B341"/>
  <c r="C341"/>
  <c r="D341"/>
  <c r="E341"/>
  <c r="F341"/>
  <c r="G341"/>
  <c r="H341"/>
  <c r="I341"/>
  <c r="J341"/>
  <c r="K341"/>
  <c r="L341"/>
  <c r="M341"/>
  <c r="N341"/>
  <c r="O341"/>
  <c r="P341"/>
  <c r="Q341"/>
  <c r="R341"/>
  <c r="S341"/>
  <c r="T341"/>
  <c r="U341"/>
  <c r="V341"/>
  <c r="W341"/>
  <c r="X341"/>
  <c r="Y341"/>
  <c r="Z341"/>
  <c r="AA341"/>
  <c r="AB341"/>
  <c r="AC341"/>
  <c r="A342"/>
  <c r="B342"/>
  <c r="C342"/>
  <c r="E342"/>
  <c r="D342" s="1"/>
  <c r="F342"/>
  <c r="G342"/>
  <c r="H342"/>
  <c r="I342"/>
  <c r="J342"/>
  <c r="K342"/>
  <c r="L342"/>
  <c r="M342"/>
  <c r="N342"/>
  <c r="O342"/>
  <c r="P342"/>
  <c r="Q342"/>
  <c r="R342"/>
  <c r="S342"/>
  <c r="T342"/>
  <c r="U342"/>
  <c r="V342"/>
  <c r="W342"/>
  <c r="X342"/>
  <c r="Y342"/>
  <c r="Z342"/>
  <c r="AA342"/>
  <c r="AB342"/>
  <c r="AC342"/>
  <c r="A343"/>
  <c r="B343"/>
  <c r="C343"/>
  <c r="D343"/>
  <c r="E343"/>
  <c r="F343"/>
  <c r="G343"/>
  <c r="H343"/>
  <c r="I343"/>
  <c r="J343"/>
  <c r="K343"/>
  <c r="L343"/>
  <c r="M343"/>
  <c r="N343"/>
  <c r="O343"/>
  <c r="P343"/>
  <c r="Q343"/>
  <c r="R343"/>
  <c r="S343"/>
  <c r="T343"/>
  <c r="U343"/>
  <c r="V343"/>
  <c r="W343"/>
  <c r="X343"/>
  <c r="Y343"/>
  <c r="Z343"/>
  <c r="AA343"/>
  <c r="AB343"/>
  <c r="AC343"/>
  <c r="A344"/>
  <c r="B344"/>
  <c r="C344"/>
  <c r="E344"/>
  <c r="D344" s="1"/>
  <c r="F344"/>
  <c r="G344"/>
  <c r="H344"/>
  <c r="I344"/>
  <c r="J344"/>
  <c r="K344"/>
  <c r="L344"/>
  <c r="M344"/>
  <c r="N344"/>
  <c r="O344"/>
  <c r="P344"/>
  <c r="Q344"/>
  <c r="R344"/>
  <c r="S344"/>
  <c r="T344"/>
  <c r="U344"/>
  <c r="V344"/>
  <c r="W344"/>
  <c r="X344"/>
  <c r="Y344"/>
  <c r="Z344"/>
  <c r="AA344"/>
  <c r="AB344"/>
  <c r="AC344"/>
  <c r="A345"/>
  <c r="B345"/>
  <c r="C345"/>
  <c r="E345"/>
  <c r="D345" s="1"/>
  <c r="F345"/>
  <c r="G345"/>
  <c r="H345"/>
  <c r="I345"/>
  <c r="J345"/>
  <c r="K345"/>
  <c r="L345"/>
  <c r="M345"/>
  <c r="N345"/>
  <c r="O345"/>
  <c r="P345"/>
  <c r="Q345"/>
  <c r="R345"/>
  <c r="S345"/>
  <c r="T345"/>
  <c r="U345"/>
  <c r="V345"/>
  <c r="W345"/>
  <c r="X345"/>
  <c r="Y345"/>
  <c r="Z345"/>
  <c r="AA345"/>
  <c r="AB345"/>
  <c r="AC345"/>
  <c r="A346"/>
  <c r="B346"/>
  <c r="C346"/>
  <c r="E346"/>
  <c r="D346" s="1"/>
  <c r="F346"/>
  <c r="G346"/>
  <c r="H346"/>
  <c r="I346"/>
  <c r="J346"/>
  <c r="K346"/>
  <c r="L346"/>
  <c r="M346"/>
  <c r="N346"/>
  <c r="O346"/>
  <c r="P346"/>
  <c r="Q346"/>
  <c r="R346"/>
  <c r="S346"/>
  <c r="T346"/>
  <c r="U346"/>
  <c r="V346"/>
  <c r="W346"/>
  <c r="X346"/>
  <c r="Y346"/>
  <c r="Z346"/>
  <c r="AA346"/>
  <c r="AB346"/>
  <c r="AC346"/>
  <c r="A347"/>
  <c r="B347"/>
  <c r="C347"/>
  <c r="E347"/>
  <c r="D347" s="1"/>
  <c r="F347"/>
  <c r="G347"/>
  <c r="H347"/>
  <c r="I347"/>
  <c r="J347"/>
  <c r="K347"/>
  <c r="L347"/>
  <c r="M347"/>
  <c r="N347"/>
  <c r="O347"/>
  <c r="P347"/>
  <c r="Q347"/>
  <c r="R347"/>
  <c r="S347"/>
  <c r="T347"/>
  <c r="U347"/>
  <c r="V347"/>
  <c r="W347"/>
  <c r="X347"/>
  <c r="Y347"/>
  <c r="Z347"/>
  <c r="AA347"/>
  <c r="AB347"/>
  <c r="AC347"/>
  <c r="A348"/>
  <c r="B348"/>
  <c r="C348"/>
  <c r="E348"/>
  <c r="D348" s="1"/>
  <c r="F348"/>
  <c r="G348"/>
  <c r="H348"/>
  <c r="I348"/>
  <c r="J348"/>
  <c r="K348"/>
  <c r="L348"/>
  <c r="M348"/>
  <c r="N348"/>
  <c r="O348"/>
  <c r="P348"/>
  <c r="Q348"/>
  <c r="R348"/>
  <c r="S348"/>
  <c r="T348"/>
  <c r="U348"/>
  <c r="V348"/>
  <c r="W348"/>
  <c r="X348"/>
  <c r="Y348"/>
  <c r="Z348"/>
  <c r="AA348"/>
  <c r="AB348"/>
  <c r="AC348"/>
  <c r="A349"/>
  <c r="B349"/>
  <c r="C349"/>
  <c r="E349"/>
  <c r="D349" s="1"/>
  <c r="F349"/>
  <c r="G349"/>
  <c r="H349"/>
  <c r="I349"/>
  <c r="J349"/>
  <c r="K349"/>
  <c r="L349"/>
  <c r="M349"/>
  <c r="N349"/>
  <c r="O349"/>
  <c r="P349"/>
  <c r="Q349"/>
  <c r="R349"/>
  <c r="S349"/>
  <c r="T349"/>
  <c r="U349"/>
  <c r="V349"/>
  <c r="W349"/>
  <c r="X349"/>
  <c r="Y349"/>
  <c r="Z349"/>
  <c r="AA349"/>
  <c r="AB349"/>
  <c r="AC349"/>
  <c r="A350"/>
  <c r="B350"/>
  <c r="C350"/>
  <c r="E350"/>
  <c r="D350" s="1"/>
  <c r="F350"/>
  <c r="G350"/>
  <c r="H350"/>
  <c r="I350"/>
  <c r="J350"/>
  <c r="K350"/>
  <c r="L350"/>
  <c r="M350"/>
  <c r="N350"/>
  <c r="O350"/>
  <c r="P350"/>
  <c r="Q350"/>
  <c r="R350"/>
  <c r="S350"/>
  <c r="T350"/>
  <c r="U350"/>
  <c r="V350"/>
  <c r="W350"/>
  <c r="X350"/>
  <c r="Y350"/>
  <c r="Z350"/>
  <c r="AA350"/>
  <c r="AB350"/>
  <c r="AC350"/>
  <c r="A351"/>
  <c r="B351"/>
  <c r="C351"/>
  <c r="E351"/>
  <c r="D351" s="1"/>
  <c r="F351"/>
  <c r="G351"/>
  <c r="H351"/>
  <c r="I351"/>
  <c r="J351"/>
  <c r="K351"/>
  <c r="L351"/>
  <c r="M351"/>
  <c r="N351"/>
  <c r="O351"/>
  <c r="P351"/>
  <c r="Q351"/>
  <c r="R351"/>
  <c r="S351"/>
  <c r="T351"/>
  <c r="U351"/>
  <c r="V351"/>
  <c r="W351"/>
  <c r="X351"/>
  <c r="Y351"/>
  <c r="Z351"/>
  <c r="AA351"/>
  <c r="AB351"/>
  <c r="AC351"/>
  <c r="A352"/>
  <c r="B352"/>
  <c r="C352"/>
  <c r="E352"/>
  <c r="D352" s="1"/>
  <c r="F352"/>
  <c r="G352"/>
  <c r="H352"/>
  <c r="I352"/>
  <c r="J352"/>
  <c r="K352"/>
  <c r="L352"/>
  <c r="M352"/>
  <c r="N352"/>
  <c r="O352"/>
  <c r="P352"/>
  <c r="Q352"/>
  <c r="R352"/>
  <c r="S352"/>
  <c r="T352"/>
  <c r="U352"/>
  <c r="V352"/>
  <c r="W352"/>
  <c r="X352"/>
  <c r="Y352"/>
  <c r="Z352"/>
  <c r="AA352"/>
  <c r="AB352"/>
  <c r="AC352"/>
  <c r="A353"/>
  <c r="B353"/>
  <c r="C353"/>
  <c r="E353"/>
  <c r="D353" s="1"/>
  <c r="F353"/>
  <c r="G353"/>
  <c r="H353"/>
  <c r="I353"/>
  <c r="J353"/>
  <c r="K353"/>
  <c r="L353"/>
  <c r="M353"/>
  <c r="N353"/>
  <c r="O353"/>
  <c r="P353"/>
  <c r="Q353"/>
  <c r="R353"/>
  <c r="S353"/>
  <c r="T353"/>
  <c r="U353"/>
  <c r="V353"/>
  <c r="W353"/>
  <c r="X353"/>
  <c r="Y353"/>
  <c r="Z353"/>
  <c r="AA353"/>
  <c r="AB353"/>
  <c r="AC353"/>
  <c r="A354"/>
  <c r="B354"/>
  <c r="C354"/>
  <c r="E354"/>
  <c r="D354" s="1"/>
  <c r="F354"/>
  <c r="G354"/>
  <c r="H354"/>
  <c r="I354"/>
  <c r="J354"/>
  <c r="K354"/>
  <c r="L354"/>
  <c r="M354"/>
  <c r="N354"/>
  <c r="O354"/>
  <c r="P354"/>
  <c r="Q354"/>
  <c r="R354"/>
  <c r="S354"/>
  <c r="T354"/>
  <c r="U354"/>
  <c r="V354"/>
  <c r="W354"/>
  <c r="X354"/>
  <c r="Y354"/>
  <c r="Z354"/>
  <c r="AA354"/>
  <c r="AB354"/>
  <c r="AC354"/>
  <c r="A355"/>
  <c r="B355"/>
  <c r="C355"/>
  <c r="D355"/>
  <c r="E355"/>
  <c r="F355"/>
  <c r="G355"/>
  <c r="H355"/>
  <c r="I355"/>
  <c r="J355"/>
  <c r="K355"/>
  <c r="L355"/>
  <c r="M355"/>
  <c r="N355"/>
  <c r="O355"/>
  <c r="P355"/>
  <c r="Q355"/>
  <c r="R355"/>
  <c r="S355"/>
  <c r="T355"/>
  <c r="U355"/>
  <c r="V355"/>
  <c r="W355"/>
  <c r="X355"/>
  <c r="Y355"/>
  <c r="Z355"/>
  <c r="AA355"/>
  <c r="AB355"/>
  <c r="AC355"/>
  <c r="A356"/>
  <c r="B356"/>
  <c r="C356"/>
  <c r="E356"/>
  <c r="D356" s="1"/>
  <c r="F356"/>
  <c r="G356"/>
  <c r="H356"/>
  <c r="I356"/>
  <c r="J356"/>
  <c r="K356"/>
  <c r="L356"/>
  <c r="M356"/>
  <c r="N356"/>
  <c r="O356"/>
  <c r="P356"/>
  <c r="Q356"/>
  <c r="R356"/>
  <c r="S356"/>
  <c r="T356"/>
  <c r="U356"/>
  <c r="V356"/>
  <c r="W356"/>
  <c r="X356"/>
  <c r="Y356"/>
  <c r="Z356"/>
  <c r="AA356"/>
  <c r="AB356"/>
  <c r="AC356"/>
  <c r="A357"/>
  <c r="B357"/>
  <c r="C357"/>
  <c r="E357"/>
  <c r="D357" s="1"/>
  <c r="F357"/>
  <c r="G357"/>
  <c r="H357"/>
  <c r="I357"/>
  <c r="J357"/>
  <c r="K357"/>
  <c r="L357"/>
  <c r="M357"/>
  <c r="N357"/>
  <c r="O357"/>
  <c r="P357"/>
  <c r="Q357"/>
  <c r="R357"/>
  <c r="S357"/>
  <c r="T357"/>
  <c r="U357"/>
  <c r="V357"/>
  <c r="W357"/>
  <c r="X357"/>
  <c r="Y357"/>
  <c r="Z357"/>
  <c r="AA357"/>
  <c r="AB357"/>
  <c r="AC357"/>
  <c r="A358"/>
  <c r="B358"/>
  <c r="C358"/>
  <c r="E358"/>
  <c r="D358" s="1"/>
  <c r="F358"/>
  <c r="G358"/>
  <c r="H358"/>
  <c r="I358"/>
  <c r="J358"/>
  <c r="K358"/>
  <c r="L358"/>
  <c r="M358"/>
  <c r="N358"/>
  <c r="O358"/>
  <c r="P358"/>
  <c r="Q358"/>
  <c r="R358"/>
  <c r="S358"/>
  <c r="T358"/>
  <c r="U358"/>
  <c r="V358"/>
  <c r="W358"/>
  <c r="X358"/>
  <c r="Y358"/>
  <c r="Z358"/>
  <c r="AA358"/>
  <c r="AB358"/>
  <c r="AC358"/>
  <c r="A359"/>
  <c r="B359"/>
  <c r="C359"/>
  <c r="D359"/>
  <c r="E359"/>
  <c r="F359"/>
  <c r="G359"/>
  <c r="H359"/>
  <c r="I359"/>
  <c r="J359"/>
  <c r="K359"/>
  <c r="L359"/>
  <c r="M359"/>
  <c r="N359"/>
  <c r="O359"/>
  <c r="P359"/>
  <c r="Q359"/>
  <c r="R359"/>
  <c r="S359"/>
  <c r="T359"/>
  <c r="U359"/>
  <c r="V359"/>
  <c r="W359"/>
  <c r="X359"/>
  <c r="Y359"/>
  <c r="Z359"/>
  <c r="AA359"/>
  <c r="AB359"/>
  <c r="AC359"/>
  <c r="A360"/>
  <c r="B360"/>
  <c r="C360"/>
  <c r="E360"/>
  <c r="D360" s="1"/>
  <c r="F360"/>
  <c r="G360"/>
  <c r="H360"/>
  <c r="I360"/>
  <c r="J360"/>
  <c r="K360"/>
  <c r="L360"/>
  <c r="M360"/>
  <c r="N360"/>
  <c r="O360"/>
  <c r="P360"/>
  <c r="Q360"/>
  <c r="R360"/>
  <c r="S360"/>
  <c r="T360"/>
  <c r="U360"/>
  <c r="V360"/>
  <c r="W360"/>
  <c r="X360"/>
  <c r="Y360"/>
  <c r="Z360"/>
  <c r="AA360"/>
  <c r="AB360"/>
  <c r="AC360"/>
  <c r="A361"/>
  <c r="B361"/>
  <c r="C361"/>
  <c r="E361"/>
  <c r="D361" s="1"/>
  <c r="F361"/>
  <c r="G361"/>
  <c r="H361"/>
  <c r="I361"/>
  <c r="J361"/>
  <c r="K361"/>
  <c r="L361"/>
  <c r="M361"/>
  <c r="N361"/>
  <c r="O361"/>
  <c r="P361"/>
  <c r="Q361"/>
  <c r="R361"/>
  <c r="S361"/>
  <c r="T361"/>
  <c r="U361"/>
  <c r="V361"/>
  <c r="W361"/>
  <c r="X361"/>
  <c r="Y361"/>
  <c r="Z361"/>
  <c r="AA361"/>
  <c r="AB361"/>
  <c r="AC361"/>
  <c r="A362"/>
  <c r="B362"/>
  <c r="C362"/>
  <c r="E362"/>
  <c r="D362" s="1"/>
  <c r="F362"/>
  <c r="G362"/>
  <c r="H362"/>
  <c r="I362"/>
  <c r="J362"/>
  <c r="K362"/>
  <c r="L362"/>
  <c r="M362"/>
  <c r="N362"/>
  <c r="O362"/>
  <c r="P362"/>
  <c r="Q362"/>
  <c r="R362"/>
  <c r="S362"/>
  <c r="T362"/>
  <c r="U362"/>
  <c r="V362"/>
  <c r="W362"/>
  <c r="X362"/>
  <c r="Y362"/>
  <c r="Z362"/>
  <c r="AA362"/>
  <c r="AB362"/>
  <c r="AC362"/>
  <c r="A363"/>
  <c r="B363"/>
  <c r="C363"/>
  <c r="E363"/>
  <c r="D363" s="1"/>
  <c r="F363"/>
  <c r="G363"/>
  <c r="H363"/>
  <c r="I363"/>
  <c r="J363"/>
  <c r="K363"/>
  <c r="L363"/>
  <c r="M363"/>
  <c r="N363"/>
  <c r="O363"/>
  <c r="P363"/>
  <c r="Q363"/>
  <c r="R363"/>
  <c r="S363"/>
  <c r="T363"/>
  <c r="U363"/>
  <c r="V363"/>
  <c r="W363"/>
  <c r="X363"/>
  <c r="Y363"/>
  <c r="Z363"/>
  <c r="AA363"/>
  <c r="AB363"/>
  <c r="AC363"/>
  <c r="A364"/>
  <c r="B364"/>
  <c r="C364"/>
  <c r="E364"/>
  <c r="D364" s="1"/>
  <c r="F364"/>
  <c r="G364"/>
  <c r="H364"/>
  <c r="I364"/>
  <c r="J364"/>
  <c r="K364"/>
  <c r="L364"/>
  <c r="M364"/>
  <c r="N364"/>
  <c r="O364"/>
  <c r="P364"/>
  <c r="Q364"/>
  <c r="R364"/>
  <c r="S364"/>
  <c r="T364"/>
  <c r="U364"/>
  <c r="V364"/>
  <c r="W364"/>
  <c r="X364"/>
  <c r="Y364"/>
  <c r="Z364"/>
  <c r="AA364"/>
  <c r="AB364"/>
  <c r="AC364"/>
  <c r="A365"/>
  <c r="B365"/>
  <c r="C365"/>
  <c r="E365"/>
  <c r="D365" s="1"/>
  <c r="F365"/>
  <c r="G365"/>
  <c r="H365"/>
  <c r="I365"/>
  <c r="J365"/>
  <c r="K365"/>
  <c r="L365"/>
  <c r="M365"/>
  <c r="N365"/>
  <c r="O365"/>
  <c r="P365"/>
  <c r="Q365"/>
  <c r="R365"/>
  <c r="S365"/>
  <c r="T365"/>
  <c r="U365"/>
  <c r="V365"/>
  <c r="W365"/>
  <c r="X365"/>
  <c r="Y365"/>
  <c r="Z365"/>
  <c r="AA365"/>
  <c r="AB365"/>
  <c r="AC365"/>
  <c r="A366"/>
  <c r="B366"/>
  <c r="C366"/>
  <c r="E366"/>
  <c r="D366" s="1"/>
  <c r="F366"/>
  <c r="G366"/>
  <c r="H366"/>
  <c r="I366"/>
  <c r="J366"/>
  <c r="K366"/>
  <c r="L366"/>
  <c r="M366"/>
  <c r="N366"/>
  <c r="O366"/>
  <c r="P366"/>
  <c r="Q366"/>
  <c r="R366"/>
  <c r="S366"/>
  <c r="T366"/>
  <c r="U366"/>
  <c r="V366"/>
  <c r="W366"/>
  <c r="X366"/>
  <c r="Y366"/>
  <c r="Z366"/>
  <c r="AA366"/>
  <c r="AB366"/>
  <c r="AC366"/>
  <c r="A367"/>
  <c r="B367"/>
  <c r="C367"/>
  <c r="E367"/>
  <c r="D367" s="1"/>
  <c r="F367"/>
  <c r="G367"/>
  <c r="H367"/>
  <c r="I367"/>
  <c r="J367"/>
  <c r="K367"/>
  <c r="L367"/>
  <c r="M367"/>
  <c r="N367"/>
  <c r="O367"/>
  <c r="P367"/>
  <c r="Q367"/>
  <c r="R367"/>
  <c r="S367"/>
  <c r="T367"/>
  <c r="U367"/>
  <c r="V367"/>
  <c r="W367"/>
  <c r="X367"/>
  <c r="Y367"/>
  <c r="Z367"/>
  <c r="AA367"/>
  <c r="AB367"/>
  <c r="AC367"/>
  <c r="A368"/>
  <c r="B368"/>
  <c r="C368"/>
  <c r="E368"/>
  <c r="D368" s="1"/>
  <c r="F368"/>
  <c r="G368"/>
  <c r="H368"/>
  <c r="I368"/>
  <c r="J368"/>
  <c r="K368"/>
  <c r="L368"/>
  <c r="M368"/>
  <c r="N368"/>
  <c r="O368"/>
  <c r="P368"/>
  <c r="Q368"/>
  <c r="R368"/>
  <c r="S368"/>
  <c r="T368"/>
  <c r="U368"/>
  <c r="V368"/>
  <c r="W368"/>
  <c r="X368"/>
  <c r="Y368"/>
  <c r="Z368"/>
  <c r="AA368"/>
  <c r="AB368"/>
  <c r="AC368"/>
  <c r="A369"/>
  <c r="B369"/>
  <c r="C369"/>
  <c r="E369"/>
  <c r="D369" s="1"/>
  <c r="F369"/>
  <c r="G369"/>
  <c r="H369"/>
  <c r="I369"/>
  <c r="J369"/>
  <c r="K369"/>
  <c r="L369"/>
  <c r="M369"/>
  <c r="N369"/>
  <c r="O369"/>
  <c r="P369"/>
  <c r="Q369"/>
  <c r="R369"/>
  <c r="S369"/>
  <c r="T369"/>
  <c r="U369"/>
  <c r="V369"/>
  <c r="W369"/>
  <c r="X369"/>
  <c r="Y369"/>
  <c r="Z369"/>
  <c r="AA369"/>
  <c r="AB369"/>
  <c r="AC369"/>
  <c r="A370"/>
  <c r="B370"/>
  <c r="C370"/>
  <c r="E370"/>
  <c r="D370" s="1"/>
  <c r="F370"/>
  <c r="G370"/>
  <c r="H370"/>
  <c r="I370"/>
  <c r="J370"/>
  <c r="K370"/>
  <c r="L370"/>
  <c r="M370"/>
  <c r="N370"/>
  <c r="O370"/>
  <c r="P370"/>
  <c r="Q370"/>
  <c r="R370"/>
  <c r="S370"/>
  <c r="T370"/>
  <c r="U370"/>
  <c r="V370"/>
  <c r="W370"/>
  <c r="X370"/>
  <c r="Y370"/>
  <c r="Z370"/>
  <c r="AA370"/>
  <c r="AB370"/>
  <c r="AC370"/>
  <c r="A371"/>
  <c r="B371"/>
  <c r="C371"/>
  <c r="D371"/>
  <c r="E371"/>
  <c r="F371"/>
  <c r="G371"/>
  <c r="H371"/>
  <c r="I371"/>
  <c r="J371"/>
  <c r="K371"/>
  <c r="L371"/>
  <c r="M371"/>
  <c r="N371"/>
  <c r="O371"/>
  <c r="P371"/>
  <c r="Q371"/>
  <c r="R371"/>
  <c r="S371"/>
  <c r="T371"/>
  <c r="U371"/>
  <c r="V371"/>
  <c r="W371"/>
  <c r="X371"/>
  <c r="Y371"/>
  <c r="Z371"/>
  <c r="AA371"/>
  <c r="AB371"/>
  <c r="AC371"/>
  <c r="A372"/>
  <c r="B372"/>
  <c r="C372"/>
  <c r="E372"/>
  <c r="D372" s="1"/>
  <c r="F372"/>
  <c r="G372"/>
  <c r="H372"/>
  <c r="I372"/>
  <c r="J372"/>
  <c r="K372"/>
  <c r="L372"/>
  <c r="M372"/>
  <c r="N372"/>
  <c r="O372"/>
  <c r="P372"/>
  <c r="Q372"/>
  <c r="R372"/>
  <c r="S372"/>
  <c r="T372"/>
  <c r="U372"/>
  <c r="V372"/>
  <c r="W372"/>
  <c r="X372"/>
  <c r="Y372"/>
  <c r="Z372"/>
  <c r="AA372"/>
  <c r="AB372"/>
  <c r="AC372"/>
  <c r="A373"/>
  <c r="B373"/>
  <c r="C373"/>
  <c r="E373"/>
  <c r="D373" s="1"/>
  <c r="F373"/>
  <c r="G373"/>
  <c r="H373"/>
  <c r="I373"/>
  <c r="J373"/>
  <c r="K373"/>
  <c r="L373"/>
  <c r="M373"/>
  <c r="N373"/>
  <c r="O373"/>
  <c r="P373"/>
  <c r="Q373"/>
  <c r="R373"/>
  <c r="S373"/>
  <c r="T373"/>
  <c r="U373"/>
  <c r="V373"/>
  <c r="W373"/>
  <c r="X373"/>
  <c r="Y373"/>
  <c r="Z373"/>
  <c r="AA373"/>
  <c r="AB373"/>
  <c r="AC373"/>
  <c r="A374"/>
  <c r="B374"/>
  <c r="C374"/>
  <c r="E374"/>
  <c r="D374" s="1"/>
  <c r="F374"/>
  <c r="G374"/>
  <c r="H374"/>
  <c r="I374"/>
  <c r="J374"/>
  <c r="K374"/>
  <c r="L374"/>
  <c r="M374"/>
  <c r="N374"/>
  <c r="O374"/>
  <c r="P374"/>
  <c r="Q374"/>
  <c r="R374"/>
  <c r="S374"/>
  <c r="T374"/>
  <c r="U374"/>
  <c r="V374"/>
  <c r="W374"/>
  <c r="X374"/>
  <c r="Y374"/>
  <c r="Z374"/>
  <c r="AA374"/>
  <c r="AB374"/>
  <c r="AC374"/>
  <c r="A375"/>
  <c r="B375"/>
  <c r="C375"/>
  <c r="D375"/>
  <c r="E375"/>
  <c r="F375"/>
  <c r="G375"/>
  <c r="H375"/>
  <c r="I375"/>
  <c r="J375"/>
  <c r="K375"/>
  <c r="L375"/>
  <c r="M375"/>
  <c r="N375"/>
  <c r="O375"/>
  <c r="P375"/>
  <c r="Q375"/>
  <c r="R375"/>
  <c r="S375"/>
  <c r="T375"/>
  <c r="U375"/>
  <c r="V375"/>
  <c r="W375"/>
  <c r="X375"/>
  <c r="Y375"/>
  <c r="Z375"/>
  <c r="AA375"/>
  <c r="AB375"/>
  <c r="AC375"/>
  <c r="A376"/>
  <c r="B376"/>
  <c r="C376"/>
  <c r="E376"/>
  <c r="D376" s="1"/>
  <c r="F376"/>
  <c r="G376"/>
  <c r="H376"/>
  <c r="I376"/>
  <c r="J376"/>
  <c r="K376"/>
  <c r="L376"/>
  <c r="M376"/>
  <c r="N376"/>
  <c r="O376"/>
  <c r="P376"/>
  <c r="Q376"/>
  <c r="R376"/>
  <c r="S376"/>
  <c r="T376"/>
  <c r="U376"/>
  <c r="V376"/>
  <c r="W376"/>
  <c r="X376"/>
  <c r="Y376"/>
  <c r="Z376"/>
  <c r="AA376"/>
  <c r="AB376"/>
  <c r="AC376"/>
  <c r="A377"/>
  <c r="B377"/>
  <c r="C377"/>
  <c r="E377"/>
  <c r="D377" s="1"/>
  <c r="F377"/>
  <c r="G377"/>
  <c r="H377"/>
  <c r="I377"/>
  <c r="J377"/>
  <c r="K377"/>
  <c r="L377"/>
  <c r="M377"/>
  <c r="N377"/>
  <c r="O377"/>
  <c r="P377"/>
  <c r="Q377"/>
  <c r="R377"/>
  <c r="S377"/>
  <c r="T377"/>
  <c r="U377"/>
  <c r="V377"/>
  <c r="W377"/>
  <c r="X377"/>
  <c r="Y377"/>
  <c r="Z377"/>
  <c r="AA377"/>
  <c r="AB377"/>
  <c r="AC377"/>
  <c r="A378"/>
  <c r="B378"/>
  <c r="C378"/>
  <c r="E378"/>
  <c r="D378" s="1"/>
  <c r="F378"/>
  <c r="G378"/>
  <c r="H378"/>
  <c r="I378"/>
  <c r="J378"/>
  <c r="K378"/>
  <c r="L378"/>
  <c r="M378"/>
  <c r="N378"/>
  <c r="O378"/>
  <c r="P378"/>
  <c r="Q378"/>
  <c r="R378"/>
  <c r="S378"/>
  <c r="T378"/>
  <c r="U378"/>
  <c r="V378"/>
  <c r="W378"/>
  <c r="X378"/>
  <c r="Y378"/>
  <c r="Z378"/>
  <c r="AA378"/>
  <c r="AB378"/>
  <c r="AC378"/>
  <c r="A379"/>
  <c r="B379"/>
  <c r="C379"/>
  <c r="E379"/>
  <c r="D379" s="1"/>
  <c r="F379"/>
  <c r="G379"/>
  <c r="H379"/>
  <c r="I379"/>
  <c r="J379"/>
  <c r="K379"/>
  <c r="L379"/>
  <c r="M379"/>
  <c r="N379"/>
  <c r="O379"/>
  <c r="P379"/>
  <c r="Q379"/>
  <c r="R379"/>
  <c r="S379"/>
  <c r="T379"/>
  <c r="U379"/>
  <c r="V379"/>
  <c r="W379"/>
  <c r="X379"/>
  <c r="Y379"/>
  <c r="Z379"/>
  <c r="AA379"/>
  <c r="AB379"/>
  <c r="AC379"/>
  <c r="A380"/>
  <c r="B380"/>
  <c r="C380"/>
  <c r="E380"/>
  <c r="D380" s="1"/>
  <c r="F380"/>
  <c r="G380"/>
  <c r="H380"/>
  <c r="I380"/>
  <c r="J380"/>
  <c r="K380"/>
  <c r="L380"/>
  <c r="M380"/>
  <c r="N380"/>
  <c r="O380"/>
  <c r="P380"/>
  <c r="Q380"/>
  <c r="R380"/>
  <c r="S380"/>
  <c r="T380"/>
  <c r="U380"/>
  <c r="V380"/>
  <c r="W380"/>
  <c r="X380"/>
  <c r="Y380"/>
  <c r="Z380"/>
  <c r="AA380"/>
  <c r="AB380"/>
  <c r="AC380"/>
  <c r="A381"/>
  <c r="B381"/>
  <c r="C381"/>
  <c r="D381"/>
  <c r="E381"/>
  <c r="F381"/>
  <c r="G381"/>
  <c r="H381"/>
  <c r="I381"/>
  <c r="J381"/>
  <c r="K381"/>
  <c r="L381"/>
  <c r="M381"/>
  <c r="N381"/>
  <c r="O381"/>
  <c r="P381"/>
  <c r="Q381"/>
  <c r="R381"/>
  <c r="S381"/>
  <c r="T381"/>
  <c r="U381"/>
  <c r="V381"/>
  <c r="W381"/>
  <c r="X381"/>
  <c r="Y381"/>
  <c r="Z381"/>
  <c r="AA381"/>
  <c r="AB381"/>
  <c r="AC381"/>
  <c r="A382"/>
  <c r="B382"/>
  <c r="C382"/>
  <c r="E382"/>
  <c r="D382" s="1"/>
  <c r="F382"/>
  <c r="G382"/>
  <c r="H382"/>
  <c r="I382"/>
  <c r="J382"/>
  <c r="K382"/>
  <c r="L382"/>
  <c r="M382"/>
  <c r="N382"/>
  <c r="O382"/>
  <c r="P382"/>
  <c r="Q382"/>
  <c r="R382"/>
  <c r="S382"/>
  <c r="T382"/>
  <c r="U382"/>
  <c r="V382"/>
  <c r="W382"/>
  <c r="X382"/>
  <c r="Y382"/>
  <c r="Z382"/>
  <c r="AA382"/>
  <c r="AB382"/>
  <c r="AC382"/>
  <c r="A383"/>
  <c r="B383"/>
  <c r="C383"/>
  <c r="D383"/>
  <c r="E383"/>
  <c r="F383"/>
  <c r="G383"/>
  <c r="H383"/>
  <c r="I383"/>
  <c r="J383"/>
  <c r="K383"/>
  <c r="L383"/>
  <c r="M383"/>
  <c r="N383"/>
  <c r="O383"/>
  <c r="P383"/>
  <c r="Q383"/>
  <c r="R383"/>
  <c r="S383"/>
  <c r="T383"/>
  <c r="U383"/>
  <c r="V383"/>
  <c r="W383"/>
  <c r="X383"/>
  <c r="Y383"/>
  <c r="Z383"/>
  <c r="AA383"/>
  <c r="AB383"/>
  <c r="AC383"/>
  <c r="A384"/>
  <c r="B384"/>
  <c r="C384"/>
  <c r="E384"/>
  <c r="D384" s="1"/>
  <c r="F384"/>
  <c r="G384"/>
  <c r="H384"/>
  <c r="I384"/>
  <c r="J384"/>
  <c r="K384"/>
  <c r="L384"/>
  <c r="M384"/>
  <c r="N384"/>
  <c r="O384"/>
  <c r="P384"/>
  <c r="Q384"/>
  <c r="R384"/>
  <c r="S384"/>
  <c r="T384"/>
  <c r="U384"/>
  <c r="V384"/>
  <c r="W384"/>
  <c r="X384"/>
  <c r="Y384"/>
  <c r="Z384"/>
  <c r="AA384"/>
  <c r="AB384"/>
  <c r="AC384"/>
  <c r="A385"/>
  <c r="B385"/>
  <c r="C385"/>
  <c r="E385"/>
  <c r="D385" s="1"/>
  <c r="F385"/>
  <c r="G385"/>
  <c r="H385"/>
  <c r="I385"/>
  <c r="J385"/>
  <c r="K385"/>
  <c r="L385"/>
  <c r="M385"/>
  <c r="N385"/>
  <c r="O385"/>
  <c r="P385"/>
  <c r="Q385"/>
  <c r="R385"/>
  <c r="S385"/>
  <c r="T385"/>
  <c r="U385"/>
  <c r="V385"/>
  <c r="W385"/>
  <c r="X385"/>
  <c r="Y385"/>
  <c r="Z385"/>
  <c r="AA385"/>
  <c r="AB385"/>
  <c r="AC385"/>
  <c r="A386"/>
  <c r="B386"/>
  <c r="C386"/>
  <c r="E386"/>
  <c r="D386" s="1"/>
  <c r="F386"/>
  <c r="G386"/>
  <c r="H386"/>
  <c r="I386"/>
  <c r="J386"/>
  <c r="K386"/>
  <c r="L386"/>
  <c r="M386"/>
  <c r="N386"/>
  <c r="O386"/>
  <c r="P386"/>
  <c r="Q386"/>
  <c r="R386"/>
  <c r="S386"/>
  <c r="T386"/>
  <c r="U386"/>
  <c r="V386"/>
  <c r="W386"/>
  <c r="X386"/>
  <c r="Y386"/>
  <c r="Z386"/>
  <c r="AA386"/>
  <c r="AB386"/>
  <c r="AC386"/>
  <c r="A387"/>
  <c r="B387"/>
  <c r="C387"/>
  <c r="E387"/>
  <c r="D387" s="1"/>
  <c r="F387"/>
  <c r="G387"/>
  <c r="H387"/>
  <c r="I387"/>
  <c r="J387"/>
  <c r="K387"/>
  <c r="L387"/>
  <c r="M387"/>
  <c r="N387"/>
  <c r="O387"/>
  <c r="P387"/>
  <c r="Q387"/>
  <c r="R387"/>
  <c r="S387"/>
  <c r="T387"/>
  <c r="U387"/>
  <c r="V387"/>
  <c r="W387"/>
  <c r="X387"/>
  <c r="Y387"/>
  <c r="Z387"/>
  <c r="AA387"/>
  <c r="AB387"/>
  <c r="AC387"/>
  <c r="A388"/>
  <c r="B388"/>
  <c r="C388"/>
  <c r="E388"/>
  <c r="D388" s="1"/>
  <c r="F388"/>
  <c r="G388"/>
  <c r="H388"/>
  <c r="I388"/>
  <c r="J388"/>
  <c r="K388"/>
  <c r="L388"/>
  <c r="M388"/>
  <c r="N388"/>
  <c r="O388"/>
  <c r="P388"/>
  <c r="Q388"/>
  <c r="R388"/>
  <c r="S388"/>
  <c r="T388"/>
  <c r="U388"/>
  <c r="V388"/>
  <c r="W388"/>
  <c r="X388"/>
  <c r="Y388"/>
  <c r="Z388"/>
  <c r="AA388"/>
  <c r="AB388"/>
  <c r="AC388"/>
  <c r="A389"/>
  <c r="B389"/>
  <c r="C389"/>
  <c r="D389"/>
  <c r="E389"/>
  <c r="F389"/>
  <c r="G389"/>
  <c r="H389"/>
  <c r="I389"/>
  <c r="J389"/>
  <c r="K389"/>
  <c r="L389"/>
  <c r="M389"/>
  <c r="N389"/>
  <c r="O389"/>
  <c r="P389"/>
  <c r="Q389"/>
  <c r="R389"/>
  <c r="S389"/>
  <c r="T389"/>
  <c r="U389"/>
  <c r="V389"/>
  <c r="W389"/>
  <c r="X389"/>
  <c r="Y389"/>
  <c r="Z389"/>
  <c r="AA389"/>
  <c r="AB389"/>
  <c r="AC389"/>
  <c r="A390"/>
  <c r="B390"/>
  <c r="C390"/>
  <c r="E390"/>
  <c r="D390" s="1"/>
  <c r="F390"/>
  <c r="G390"/>
  <c r="H390"/>
  <c r="I390"/>
  <c r="J390"/>
  <c r="K390"/>
  <c r="L390"/>
  <c r="M390"/>
  <c r="N390"/>
  <c r="O390"/>
  <c r="P390"/>
  <c r="Q390"/>
  <c r="R390"/>
  <c r="S390"/>
  <c r="T390"/>
  <c r="U390"/>
  <c r="V390"/>
  <c r="W390"/>
  <c r="X390"/>
  <c r="Y390"/>
  <c r="Z390"/>
  <c r="AA390"/>
  <c r="AB390"/>
  <c r="AC390"/>
  <c r="A391"/>
  <c r="B391"/>
  <c r="C391"/>
  <c r="D391"/>
  <c r="E391"/>
  <c r="F391"/>
  <c r="G391"/>
  <c r="H391"/>
  <c r="I391"/>
  <c r="J391"/>
  <c r="K391"/>
  <c r="L391"/>
  <c r="M391"/>
  <c r="N391"/>
  <c r="O391"/>
  <c r="P391"/>
  <c r="Q391"/>
  <c r="R391"/>
  <c r="S391"/>
  <c r="T391"/>
  <c r="U391"/>
  <c r="V391"/>
  <c r="W391"/>
  <c r="X391"/>
  <c r="Y391"/>
  <c r="Z391"/>
  <c r="AA391"/>
  <c r="AB391"/>
  <c r="AC391"/>
  <c r="A392"/>
  <c r="B392"/>
  <c r="C392"/>
  <c r="E392"/>
  <c r="D392" s="1"/>
  <c r="F392"/>
  <c r="G392"/>
  <c r="H392"/>
  <c r="I392"/>
  <c r="J392"/>
  <c r="K392"/>
  <c r="L392"/>
  <c r="M392"/>
  <c r="N392"/>
  <c r="O392"/>
  <c r="P392"/>
  <c r="Q392"/>
  <c r="R392"/>
  <c r="S392"/>
  <c r="T392"/>
  <c r="U392"/>
  <c r="V392"/>
  <c r="W392"/>
  <c r="X392"/>
  <c r="Y392"/>
  <c r="Z392"/>
  <c r="AA392"/>
  <c r="AB392"/>
  <c r="AC392"/>
  <c r="A393"/>
  <c r="B393"/>
  <c r="C393"/>
  <c r="E393"/>
  <c r="D393" s="1"/>
  <c r="F393"/>
  <c r="G393"/>
  <c r="H393"/>
  <c r="I393"/>
  <c r="J393"/>
  <c r="K393"/>
  <c r="L393"/>
  <c r="M393"/>
  <c r="N393"/>
  <c r="O393"/>
  <c r="P393"/>
  <c r="Q393"/>
  <c r="R393"/>
  <c r="S393"/>
  <c r="T393"/>
  <c r="U393"/>
  <c r="V393"/>
  <c r="W393"/>
  <c r="X393"/>
  <c r="Y393"/>
  <c r="Z393"/>
  <c r="AA393"/>
  <c r="AB393"/>
  <c r="AC393"/>
  <c r="A394"/>
  <c r="B394"/>
  <c r="C394"/>
  <c r="E394"/>
  <c r="D394" s="1"/>
  <c r="F394"/>
  <c r="G394"/>
  <c r="H394"/>
  <c r="I394"/>
  <c r="J394"/>
  <c r="K394"/>
  <c r="L394"/>
  <c r="M394"/>
  <c r="N394"/>
  <c r="O394"/>
  <c r="P394"/>
  <c r="Q394"/>
  <c r="R394"/>
  <c r="S394"/>
  <c r="T394"/>
  <c r="U394"/>
  <c r="V394"/>
  <c r="W394"/>
  <c r="X394"/>
  <c r="Y394"/>
  <c r="Z394"/>
  <c r="AA394"/>
  <c r="AB394"/>
  <c r="AC394"/>
  <c r="A395"/>
  <c r="B395"/>
  <c r="C395"/>
  <c r="E395"/>
  <c r="D395" s="1"/>
  <c r="F395"/>
  <c r="G395"/>
  <c r="H395"/>
  <c r="I395"/>
  <c r="J395"/>
  <c r="K395"/>
  <c r="L395"/>
  <c r="M395"/>
  <c r="N395"/>
  <c r="O395"/>
  <c r="P395"/>
  <c r="Q395"/>
  <c r="R395"/>
  <c r="S395"/>
  <c r="T395"/>
  <c r="U395"/>
  <c r="V395"/>
  <c r="W395"/>
  <c r="X395"/>
  <c r="Y395"/>
  <c r="Z395"/>
  <c r="AA395"/>
  <c r="AB395"/>
  <c r="AC395"/>
  <c r="A396"/>
  <c r="B396"/>
  <c r="C396"/>
  <c r="E396"/>
  <c r="D396" s="1"/>
  <c r="F396"/>
  <c r="G396"/>
  <c r="H396"/>
  <c r="I396"/>
  <c r="J396"/>
  <c r="K396"/>
  <c r="L396"/>
  <c r="M396"/>
  <c r="N396"/>
  <c r="O396"/>
  <c r="P396"/>
  <c r="Q396"/>
  <c r="R396"/>
  <c r="S396"/>
  <c r="T396"/>
  <c r="U396"/>
  <c r="V396"/>
  <c r="W396"/>
  <c r="X396"/>
  <c r="Y396"/>
  <c r="Z396"/>
  <c r="AA396"/>
  <c r="AB396"/>
  <c r="AC396"/>
  <c r="A397"/>
  <c r="B397"/>
  <c r="C397"/>
  <c r="D397"/>
  <c r="E397"/>
  <c r="F397"/>
  <c r="G397"/>
  <c r="H397"/>
  <c r="I397"/>
  <c r="J397"/>
  <c r="K397"/>
  <c r="L397"/>
  <c r="M397"/>
  <c r="N397"/>
  <c r="O397"/>
  <c r="P397"/>
  <c r="Q397"/>
  <c r="R397"/>
  <c r="S397"/>
  <c r="T397"/>
  <c r="U397"/>
  <c r="V397"/>
  <c r="W397"/>
  <c r="X397"/>
  <c r="Y397"/>
  <c r="Z397"/>
  <c r="AA397"/>
  <c r="AB397"/>
  <c r="AC397"/>
  <c r="A398"/>
  <c r="B398"/>
  <c r="C398"/>
  <c r="E398"/>
  <c r="D398" s="1"/>
  <c r="F398"/>
  <c r="G398"/>
  <c r="H398"/>
  <c r="I398"/>
  <c r="J398"/>
  <c r="K398"/>
  <c r="L398"/>
  <c r="M398"/>
  <c r="N398"/>
  <c r="O398"/>
  <c r="P398"/>
  <c r="Q398"/>
  <c r="R398"/>
  <c r="S398"/>
  <c r="T398"/>
  <c r="U398"/>
  <c r="V398"/>
  <c r="W398"/>
  <c r="X398"/>
  <c r="Y398"/>
  <c r="Z398"/>
  <c r="AA398"/>
  <c r="AB398"/>
  <c r="AC398"/>
  <c r="A399"/>
  <c r="B399"/>
  <c r="C399"/>
  <c r="D399"/>
  <c r="E399"/>
  <c r="F399"/>
  <c r="G399"/>
  <c r="H399"/>
  <c r="I399"/>
  <c r="J399"/>
  <c r="K399"/>
  <c r="L399"/>
  <c r="M399"/>
  <c r="N399"/>
  <c r="O399"/>
  <c r="P399"/>
  <c r="Q399"/>
  <c r="R399"/>
  <c r="S399"/>
  <c r="T399"/>
  <c r="U399"/>
  <c r="V399"/>
  <c r="W399"/>
  <c r="X399"/>
  <c r="Y399"/>
  <c r="Z399"/>
  <c r="AA399"/>
  <c r="AB399"/>
  <c r="AC399"/>
  <c r="A400"/>
  <c r="B400"/>
  <c r="C400"/>
  <c r="E400"/>
  <c r="D400" s="1"/>
  <c r="F400"/>
  <c r="G400"/>
  <c r="H400"/>
  <c r="I400"/>
  <c r="J400"/>
  <c r="K400"/>
  <c r="L400"/>
  <c r="M400"/>
  <c r="N400"/>
  <c r="O400"/>
  <c r="P400"/>
  <c r="Q400"/>
  <c r="R400"/>
  <c r="S400"/>
  <c r="T400"/>
  <c r="U400"/>
  <c r="V400"/>
  <c r="W400"/>
  <c r="X400"/>
  <c r="Y400"/>
  <c r="Z400"/>
  <c r="AA400"/>
  <c r="AB400"/>
  <c r="AC400"/>
  <c r="A401"/>
  <c r="B401"/>
  <c r="C401"/>
  <c r="E401"/>
  <c r="D401" s="1"/>
  <c r="F401"/>
  <c r="G401"/>
  <c r="H401"/>
  <c r="I401"/>
  <c r="J401"/>
  <c r="K401"/>
  <c r="L401"/>
  <c r="M401"/>
  <c r="N401"/>
  <c r="O401"/>
  <c r="P401"/>
  <c r="Q401"/>
  <c r="R401"/>
  <c r="S401"/>
  <c r="T401"/>
  <c r="U401"/>
  <c r="V401"/>
  <c r="W401"/>
  <c r="X401"/>
  <c r="Y401"/>
  <c r="Z401"/>
  <c r="AA401"/>
  <c r="AB401"/>
  <c r="AC401"/>
  <c r="A402"/>
  <c r="B402"/>
  <c r="C402"/>
  <c r="E402"/>
  <c r="D402" s="1"/>
  <c r="F402"/>
  <c r="G402"/>
  <c r="H402"/>
  <c r="I402"/>
  <c r="J402"/>
  <c r="K402"/>
  <c r="L402"/>
  <c r="M402"/>
  <c r="N402"/>
  <c r="O402"/>
  <c r="P402"/>
  <c r="Q402"/>
  <c r="R402"/>
  <c r="S402"/>
  <c r="T402"/>
  <c r="U402"/>
  <c r="V402"/>
  <c r="W402"/>
  <c r="X402"/>
  <c r="Y402"/>
  <c r="Z402"/>
  <c r="AA402"/>
  <c r="AB402"/>
  <c r="AC402"/>
  <c r="A403"/>
  <c r="B403"/>
  <c r="C403"/>
  <c r="D403"/>
  <c r="E403"/>
  <c r="F403"/>
  <c r="G403"/>
  <c r="H403"/>
  <c r="I403"/>
  <c r="J403"/>
  <c r="K403"/>
  <c r="L403"/>
  <c r="M403"/>
  <c r="N403"/>
  <c r="O403"/>
  <c r="P403"/>
  <c r="Q403"/>
  <c r="R403"/>
  <c r="S403"/>
  <c r="T403"/>
  <c r="U403"/>
  <c r="V403"/>
  <c r="W403"/>
  <c r="X403"/>
  <c r="Y403"/>
  <c r="Z403"/>
  <c r="AA403"/>
  <c r="AB403"/>
  <c r="AC403"/>
  <c r="A404"/>
  <c r="B404"/>
  <c r="C404"/>
  <c r="E404"/>
  <c r="D404" s="1"/>
  <c r="F404"/>
  <c r="G404"/>
  <c r="H404"/>
  <c r="I404"/>
  <c r="J404"/>
  <c r="K404"/>
  <c r="L404"/>
  <c r="M404"/>
  <c r="N404"/>
  <c r="O404"/>
  <c r="P404"/>
  <c r="Q404"/>
  <c r="R404"/>
  <c r="S404"/>
  <c r="T404"/>
  <c r="U404"/>
  <c r="V404"/>
  <c r="W404"/>
  <c r="X404"/>
  <c r="Y404"/>
  <c r="Z404"/>
  <c r="AA404"/>
  <c r="AB404"/>
  <c r="AC404"/>
  <c r="A405"/>
  <c r="B405"/>
  <c r="C405"/>
  <c r="D405"/>
  <c r="E405"/>
  <c r="F405"/>
  <c r="G405"/>
  <c r="H405"/>
  <c r="I405"/>
  <c r="J405"/>
  <c r="K405"/>
  <c r="L405"/>
  <c r="M405"/>
  <c r="N405"/>
  <c r="O405"/>
  <c r="P405"/>
  <c r="Q405"/>
  <c r="R405"/>
  <c r="S405"/>
  <c r="T405"/>
  <c r="U405"/>
  <c r="V405"/>
  <c r="W405"/>
  <c r="X405"/>
  <c r="Y405"/>
  <c r="Z405"/>
  <c r="AA405"/>
  <c r="AB405"/>
  <c r="AC405"/>
  <c r="A406"/>
  <c r="B406"/>
  <c r="C406"/>
  <c r="E406"/>
  <c r="D406" s="1"/>
  <c r="F406"/>
  <c r="G406"/>
  <c r="H406"/>
  <c r="I406"/>
  <c r="J406"/>
  <c r="K406"/>
  <c r="L406"/>
  <c r="M406"/>
  <c r="N406"/>
  <c r="O406"/>
  <c r="P406"/>
  <c r="Q406"/>
  <c r="R406"/>
  <c r="S406"/>
  <c r="T406"/>
  <c r="U406"/>
  <c r="V406"/>
  <c r="W406"/>
  <c r="X406"/>
  <c r="Y406"/>
  <c r="Z406"/>
  <c r="AA406"/>
  <c r="AB406"/>
  <c r="AC406"/>
  <c r="A407"/>
  <c r="B407"/>
  <c r="C407"/>
  <c r="E407"/>
  <c r="D407" s="1"/>
  <c r="F407"/>
  <c r="G407"/>
  <c r="H407"/>
  <c r="I407"/>
  <c r="J407"/>
  <c r="K407"/>
  <c r="L407"/>
  <c r="M407"/>
  <c r="N407"/>
  <c r="O407"/>
  <c r="P407"/>
  <c r="Q407"/>
  <c r="R407"/>
  <c r="S407"/>
  <c r="T407"/>
  <c r="U407"/>
  <c r="V407"/>
  <c r="W407"/>
  <c r="X407"/>
  <c r="Y407"/>
  <c r="Z407"/>
  <c r="AA407"/>
  <c r="AB407"/>
  <c r="AC407"/>
  <c r="A408"/>
  <c r="B408"/>
  <c r="C408"/>
  <c r="E408"/>
  <c r="D408" s="1"/>
  <c r="F408"/>
  <c r="G408"/>
  <c r="H408"/>
  <c r="I408"/>
  <c r="J408"/>
  <c r="K408"/>
  <c r="L408"/>
  <c r="M408"/>
  <c r="N408"/>
  <c r="O408"/>
  <c r="P408"/>
  <c r="Q408"/>
  <c r="R408"/>
  <c r="S408"/>
  <c r="T408"/>
  <c r="U408"/>
  <c r="V408"/>
  <c r="W408"/>
  <c r="X408"/>
  <c r="Y408"/>
  <c r="Z408"/>
  <c r="AA408"/>
  <c r="AB408"/>
  <c r="AC408"/>
  <c r="A409"/>
  <c r="B409"/>
  <c r="C409"/>
  <c r="D409"/>
  <c r="E409"/>
  <c r="F409"/>
  <c r="G409"/>
  <c r="H409"/>
  <c r="I409"/>
  <c r="J409"/>
  <c r="K409"/>
  <c r="L409"/>
  <c r="M409"/>
  <c r="N409"/>
  <c r="O409"/>
  <c r="P409"/>
  <c r="Q409"/>
  <c r="R409"/>
  <c r="S409"/>
  <c r="T409"/>
  <c r="U409"/>
  <c r="V409"/>
  <c r="W409"/>
  <c r="X409"/>
  <c r="Y409"/>
  <c r="Z409"/>
  <c r="AA409"/>
  <c r="AB409"/>
  <c r="AC409"/>
  <c r="A410"/>
  <c r="B410"/>
  <c r="C410"/>
  <c r="D410"/>
  <c r="E410"/>
  <c r="F410"/>
  <c r="G410"/>
  <c r="H410"/>
  <c r="I410"/>
  <c r="J410"/>
  <c r="K410"/>
  <c r="L410"/>
  <c r="M410"/>
  <c r="N410"/>
  <c r="O410"/>
  <c r="P410"/>
  <c r="Q410"/>
  <c r="R410"/>
  <c r="S410"/>
  <c r="T410"/>
  <c r="U410"/>
  <c r="V410"/>
  <c r="W410"/>
  <c r="X410"/>
  <c r="Y410"/>
  <c r="Z410"/>
  <c r="AA410"/>
  <c r="AB410"/>
  <c r="AC410"/>
  <c r="A411"/>
  <c r="B411"/>
  <c r="C411"/>
  <c r="E411"/>
  <c r="D411" s="1"/>
  <c r="F411"/>
  <c r="G411"/>
  <c r="H411"/>
  <c r="I411"/>
  <c r="J411"/>
  <c r="K411"/>
  <c r="L411"/>
  <c r="M411"/>
  <c r="N411"/>
  <c r="O411"/>
  <c r="P411"/>
  <c r="Q411"/>
  <c r="R411"/>
  <c r="S411"/>
  <c r="T411"/>
  <c r="U411"/>
  <c r="V411"/>
  <c r="W411"/>
  <c r="X411"/>
  <c r="Y411"/>
  <c r="Z411"/>
  <c r="AA411"/>
  <c r="AB411"/>
  <c r="AC411"/>
  <c r="A412"/>
  <c r="B412"/>
  <c r="C412"/>
  <c r="E412"/>
  <c r="D412" s="1"/>
  <c r="F412"/>
  <c r="G412"/>
  <c r="H412"/>
  <c r="I412"/>
  <c r="J412"/>
  <c r="K412"/>
  <c r="L412"/>
  <c r="M412"/>
  <c r="N412"/>
  <c r="O412"/>
  <c r="P412"/>
  <c r="Q412"/>
  <c r="R412"/>
  <c r="S412"/>
  <c r="T412"/>
  <c r="U412"/>
  <c r="V412"/>
  <c r="W412"/>
  <c r="X412"/>
  <c r="Y412"/>
  <c r="Z412"/>
  <c r="AA412"/>
  <c r="AB412"/>
  <c r="AC412"/>
  <c r="A413"/>
  <c r="B413"/>
  <c r="C413"/>
  <c r="E413"/>
  <c r="D413" s="1"/>
  <c r="F413"/>
  <c r="G413"/>
  <c r="H413"/>
  <c r="I413"/>
  <c r="J413"/>
  <c r="K413"/>
  <c r="L413"/>
  <c r="M413"/>
  <c r="N413"/>
  <c r="O413"/>
  <c r="P413"/>
  <c r="Q413"/>
  <c r="R413"/>
  <c r="S413"/>
  <c r="T413"/>
  <c r="U413"/>
  <c r="V413"/>
  <c r="W413"/>
  <c r="X413"/>
  <c r="Y413"/>
  <c r="Z413"/>
  <c r="AA413"/>
  <c r="AB413"/>
  <c r="AC413"/>
  <c r="A414"/>
  <c r="B414"/>
  <c r="C414"/>
  <c r="D414"/>
  <c r="E414"/>
  <c r="F414"/>
  <c r="G414"/>
  <c r="H414"/>
  <c r="I414"/>
  <c r="J414"/>
  <c r="K414"/>
  <c r="L414"/>
  <c r="M414"/>
  <c r="N414"/>
  <c r="O414"/>
  <c r="P414"/>
  <c r="Q414"/>
  <c r="R414"/>
  <c r="S414"/>
  <c r="T414"/>
  <c r="U414"/>
  <c r="V414"/>
  <c r="W414"/>
  <c r="X414"/>
  <c r="Y414"/>
  <c r="Z414"/>
  <c r="AA414"/>
  <c r="AB414"/>
  <c r="AC414"/>
  <c r="A415"/>
  <c r="B415"/>
  <c r="C415"/>
  <c r="D415"/>
  <c r="E415"/>
  <c r="F415"/>
  <c r="G415"/>
  <c r="H415"/>
  <c r="I415"/>
  <c r="J415"/>
  <c r="K415"/>
  <c r="L415"/>
  <c r="M415"/>
  <c r="N415"/>
  <c r="O415"/>
  <c r="P415"/>
  <c r="Q415"/>
  <c r="R415"/>
  <c r="S415"/>
  <c r="T415"/>
  <c r="U415"/>
  <c r="V415"/>
  <c r="W415"/>
  <c r="X415"/>
  <c r="Y415"/>
  <c r="Z415"/>
  <c r="AA415"/>
  <c r="AB415"/>
  <c r="AC415"/>
  <c r="A416"/>
  <c r="B416"/>
  <c r="C416"/>
  <c r="E416"/>
  <c r="D416" s="1"/>
  <c r="F416"/>
  <c r="G416"/>
  <c r="H416"/>
  <c r="I416"/>
  <c r="J416"/>
  <c r="K416"/>
  <c r="L416"/>
  <c r="M416"/>
  <c r="N416"/>
  <c r="O416"/>
  <c r="P416"/>
  <c r="Q416"/>
  <c r="R416"/>
  <c r="S416"/>
  <c r="T416"/>
  <c r="U416"/>
  <c r="V416"/>
  <c r="W416"/>
  <c r="X416"/>
  <c r="Y416"/>
  <c r="Z416"/>
  <c r="AA416"/>
  <c r="AB416"/>
  <c r="AC416"/>
  <c r="A417"/>
  <c r="B417"/>
  <c r="C417"/>
  <c r="E417"/>
  <c r="D417" s="1"/>
  <c r="F417"/>
  <c r="G417"/>
  <c r="H417"/>
  <c r="I417"/>
  <c r="J417"/>
  <c r="K417"/>
  <c r="L417"/>
  <c r="M417"/>
  <c r="N417"/>
  <c r="O417"/>
  <c r="P417"/>
  <c r="Q417"/>
  <c r="R417"/>
  <c r="S417"/>
  <c r="T417"/>
  <c r="U417"/>
  <c r="V417"/>
  <c r="W417"/>
  <c r="X417"/>
  <c r="Y417"/>
  <c r="Z417"/>
  <c r="AA417"/>
  <c r="AB417"/>
  <c r="AC417"/>
  <c r="A418"/>
  <c r="B418"/>
  <c r="C418"/>
  <c r="E418"/>
  <c r="D418" s="1"/>
  <c r="F418"/>
  <c r="G418"/>
  <c r="H418"/>
  <c r="I418"/>
  <c r="J418"/>
  <c r="K418"/>
  <c r="L418"/>
  <c r="M418"/>
  <c r="N418"/>
  <c r="O418"/>
  <c r="P418"/>
  <c r="Q418"/>
  <c r="R418"/>
  <c r="S418"/>
  <c r="T418"/>
  <c r="U418"/>
  <c r="V418"/>
  <c r="W418"/>
  <c r="X418"/>
  <c r="Y418"/>
  <c r="Z418"/>
  <c r="AA418"/>
  <c r="AB418"/>
  <c r="AC418"/>
  <c r="A419"/>
  <c r="B419"/>
  <c r="C419"/>
  <c r="D419"/>
  <c r="E419"/>
  <c r="F419"/>
  <c r="G419"/>
  <c r="H419"/>
  <c r="I419"/>
  <c r="J419"/>
  <c r="K419"/>
  <c r="L419"/>
  <c r="M419"/>
  <c r="N419"/>
  <c r="O419"/>
  <c r="P419"/>
  <c r="Q419"/>
  <c r="R419"/>
  <c r="S419"/>
  <c r="T419"/>
  <c r="U419"/>
  <c r="V419"/>
  <c r="W419"/>
  <c r="X419"/>
  <c r="Y419"/>
  <c r="Z419"/>
  <c r="AA419"/>
  <c r="AB419"/>
  <c r="AC419"/>
  <c r="A420"/>
  <c r="B420"/>
  <c r="C420"/>
  <c r="E420"/>
  <c r="D420" s="1"/>
  <c r="F420"/>
  <c r="G420"/>
  <c r="H420"/>
  <c r="I420"/>
  <c r="J420"/>
  <c r="K420"/>
  <c r="L420"/>
  <c r="M420"/>
  <c r="N420"/>
  <c r="O420"/>
  <c r="P420"/>
  <c r="Q420"/>
  <c r="R420"/>
  <c r="S420"/>
  <c r="T420"/>
  <c r="U420"/>
  <c r="V420"/>
  <c r="W420"/>
  <c r="X420"/>
  <c r="Y420"/>
  <c r="Z420"/>
  <c r="AA420"/>
  <c r="AB420"/>
  <c r="AC420"/>
  <c r="A421"/>
  <c r="B421"/>
  <c r="C421"/>
  <c r="D421"/>
  <c r="E421"/>
  <c r="F421"/>
  <c r="G421"/>
  <c r="H421"/>
  <c r="I421"/>
  <c r="J421"/>
  <c r="K421"/>
  <c r="L421"/>
  <c r="M421"/>
  <c r="N421"/>
  <c r="O421"/>
  <c r="P421"/>
  <c r="Q421"/>
  <c r="R421"/>
  <c r="S421"/>
  <c r="T421"/>
  <c r="U421"/>
  <c r="V421"/>
  <c r="W421"/>
  <c r="X421"/>
  <c r="Y421"/>
  <c r="Z421"/>
  <c r="AA421"/>
  <c r="AB421"/>
  <c r="AC421"/>
  <c r="A422"/>
  <c r="B422"/>
  <c r="C422"/>
  <c r="E422"/>
  <c r="D422" s="1"/>
  <c r="F422"/>
  <c r="G422"/>
  <c r="H422"/>
  <c r="I422"/>
  <c r="J422"/>
  <c r="K422"/>
  <c r="L422"/>
  <c r="M422"/>
  <c r="N422"/>
  <c r="O422"/>
  <c r="P422"/>
  <c r="Q422"/>
  <c r="R422"/>
  <c r="S422"/>
  <c r="T422"/>
  <c r="U422"/>
  <c r="V422"/>
  <c r="W422"/>
  <c r="X422"/>
  <c r="Y422"/>
  <c r="Z422"/>
  <c r="AA422"/>
  <c r="AB422"/>
  <c r="AC422"/>
  <c r="A423"/>
  <c r="B423"/>
  <c r="C423"/>
  <c r="E423"/>
  <c r="D423" s="1"/>
  <c r="F423"/>
  <c r="G423"/>
  <c r="H423"/>
  <c r="I423"/>
  <c r="J423"/>
  <c r="K423"/>
  <c r="L423"/>
  <c r="M423"/>
  <c r="N423"/>
  <c r="O423"/>
  <c r="P423"/>
  <c r="Q423"/>
  <c r="R423"/>
  <c r="S423"/>
  <c r="T423"/>
  <c r="U423"/>
  <c r="V423"/>
  <c r="W423"/>
  <c r="X423"/>
  <c r="Y423"/>
  <c r="Z423"/>
  <c r="AA423"/>
  <c r="AB423"/>
  <c r="AC423"/>
  <c r="A424"/>
  <c r="B424"/>
  <c r="C424"/>
  <c r="E424"/>
  <c r="D424" s="1"/>
  <c r="F424"/>
  <c r="G424"/>
  <c r="H424"/>
  <c r="I424"/>
  <c r="J424"/>
  <c r="K424"/>
  <c r="L424"/>
  <c r="M424"/>
  <c r="N424"/>
  <c r="O424"/>
  <c r="P424"/>
  <c r="Q424"/>
  <c r="R424"/>
  <c r="S424"/>
  <c r="T424"/>
  <c r="U424"/>
  <c r="V424"/>
  <c r="W424"/>
  <c r="X424"/>
  <c r="Y424"/>
  <c r="Z424"/>
  <c r="AA424"/>
  <c r="AB424"/>
  <c r="AC424"/>
  <c r="A425"/>
  <c r="B425"/>
  <c r="C425"/>
  <c r="D425"/>
  <c r="E425"/>
  <c r="F425"/>
  <c r="G425"/>
  <c r="H425"/>
  <c r="I425"/>
  <c r="J425"/>
  <c r="K425"/>
  <c r="L425"/>
  <c r="M425"/>
  <c r="N425"/>
  <c r="O425"/>
  <c r="P425"/>
  <c r="Q425"/>
  <c r="R425"/>
  <c r="S425"/>
  <c r="T425"/>
  <c r="U425"/>
  <c r="V425"/>
  <c r="W425"/>
  <c r="X425"/>
  <c r="Y425"/>
  <c r="Z425"/>
  <c r="AA425"/>
  <c r="AB425"/>
  <c r="AC425"/>
  <c r="F1" i="3"/>
  <c r="B4"/>
  <c r="B5"/>
  <c r="B6"/>
</calcChain>
</file>

<file path=xl/comments1.xml><?xml version="1.0" encoding="utf-8"?>
<comments xmlns="http://schemas.openxmlformats.org/spreadsheetml/2006/main">
  <authors>
    <author>Thomas</author>
  </authors>
  <commentList>
    <comment ref="A1" authorId="0">
      <text>
        <r>
          <rPr>
            <sz val="10"/>
            <rFont val="Arial"/>
            <family val="2"/>
          </rPr>
          <t>Debug.10</t>
        </r>
      </text>
    </comment>
  </commentList>
</comments>
</file>

<file path=xl/sharedStrings.xml><?xml version="1.0" encoding="utf-8"?>
<sst xmlns="http://schemas.openxmlformats.org/spreadsheetml/2006/main" count="4363" uniqueCount="455">
  <si>
    <t>Device</t>
  </si>
  <si>
    <t>Key ID</t>
  </si>
  <si>
    <t>Record Type</t>
  </si>
  <si>
    <t>Longitude</t>
  </si>
  <si>
    <t>Latitude</t>
  </si>
  <si>
    <t>Log Reason</t>
  </si>
  <si>
    <t>Ignition</t>
  </si>
  <si>
    <t>Aux1</t>
  </si>
  <si>
    <t>Aux2</t>
  </si>
  <si>
    <t>Aux3</t>
  </si>
  <si>
    <t>Aux4</t>
  </si>
  <si>
    <t>Aux5</t>
  </si>
  <si>
    <t>Aux6</t>
  </si>
  <si>
    <t>Aux7</t>
  </si>
  <si>
    <t>Aux8</t>
  </si>
  <si>
    <t>Valid</t>
  </si>
  <si>
    <t>GPS Valid</t>
  </si>
  <si>
    <t>Processed</t>
  </si>
  <si>
    <t/>
  </si>
  <si>
    <t>GpsRecord</t>
  </si>
  <si>
    <t>Log Time</t>
  </si>
  <si>
    <t>LogRecord and Accident Report</t>
  </si>
  <si>
    <t>Speed</t>
  </si>
  <si>
    <t>Location</t>
  </si>
  <si>
    <t>Date</t>
  </si>
  <si>
    <t>DeviceId</t>
  </si>
  <si>
    <t>DeviceName</t>
  </si>
  <si>
    <t>DeviceComment</t>
  </si>
  <si>
    <t>DebugKeyId</t>
  </si>
  <si>
    <t>DebugDateTime</t>
  </si>
  <si>
    <t>DebugRecordType</t>
  </si>
  <si>
    <t>DebugSpeed</t>
  </si>
  <si>
    <t>DebugLongitude</t>
  </si>
  <si>
    <t>DebugLatitude</t>
  </si>
  <si>
    <t>DebugLocation</t>
  </si>
  <si>
    <t>DebugRecordReason</t>
  </si>
  <si>
    <t>DebugIgnition</t>
  </si>
  <si>
    <t>DebugAux1</t>
  </si>
  <si>
    <t>DebugAux2</t>
  </si>
  <si>
    <t>DebugAux3</t>
  </si>
  <si>
    <t>DebugAux4</t>
  </si>
  <si>
    <t>DebugAux5</t>
  </si>
  <si>
    <t>DebugAux6</t>
  </si>
  <si>
    <t>DebugAux7</t>
  </si>
  <si>
    <t>DebugAux8</t>
  </si>
  <si>
    <t>DebugPositionValid</t>
  </si>
  <si>
    <t>DebugPositionValidAtUnit</t>
  </si>
  <si>
    <t>DebugProcessed</t>
  </si>
  <si>
    <t>DebugLoadedSection</t>
  </si>
  <si>
    <t>DebugStatusDataValue</t>
  </si>
  <si>
    <t>DiagnosticName</t>
  </si>
  <si>
    <t>DiagnosticId</t>
  </si>
  <si>
    <t>ControllerName</t>
  </si>
  <si>
    <t>ControllerId</t>
  </si>
  <si>
    <t>FailureModeName</t>
  </si>
  <si>
    <t>FailureModeId</t>
  </si>
  <si>
    <t>UnitOfMeasureName</t>
  </si>
  <si>
    <t>UnitOfMeasureId</t>
  </si>
  <si>
    <t>DebugDataLength</t>
  </si>
  <si>
    <t>EngineStatusRecord</t>
  </si>
  <si>
    <t>EngineFaultRecord</t>
  </si>
  <si>
    <t>Engine Diagnostic</t>
  </si>
  <si>
    <t>Controller</t>
  </si>
  <si>
    <t>Failure Mode</t>
  </si>
  <si>
    <t>Engine Status</t>
  </si>
  <si>
    <t>DeviceGroup</t>
  </si>
  <si>
    <t>Device Group</t>
  </si>
  <si>
    <t>Location.ZoneZoneTypes</t>
  </si>
  <si>
    <t>Location Zone Types</t>
  </si>
  <si>
    <t>RunDate</t>
  </si>
  <si>
    <t>FromDate</t>
  </si>
  <si>
    <t>ToDate</t>
  </si>
  <si>
    <t>From</t>
  </si>
  <si>
    <t>To</t>
  </si>
  <si>
    <t>Location.ZoneExternalReference</t>
  </si>
  <si>
    <t>CompanyName</t>
  </si>
  <si>
    <t>SpeedUnit</t>
  </si>
  <si>
    <t>km/h</t>
  </si>
  <si>
    <t>Speed Unit</t>
  </si>
  <si>
    <t>SendReport</t>
  </si>
  <si>
    <t>LastModifiedUser</t>
  </si>
  <si>
    <t>FALSE</t>
  </si>
  <si>
    <t>TRUE</t>
  </si>
  <si>
    <t xml:space="preserve"> </t>
  </si>
  <si>
    <t>DebugRecordDataInHex</t>
  </si>
  <si>
    <t>Debug Record</t>
  </si>
  <si>
    <t>Aoyama Gakuin</t>
  </si>
  <si>
    <t>**&lt;No User&gt;</t>
  </si>
  <si>
    <t>b1</t>
  </si>
  <si>
    <t>デモ機</t>
  </si>
  <si>
    <t>Entire Organization</t>
  </si>
  <si>
    <t>UnitOfMeasureNoneId</t>
  </si>
  <si>
    <t>DiagnosticDevicePowerChangeId</t>
  </si>
  <si>
    <t>Device power change (1=powered)</t>
  </si>
  <si>
    <t>ControllerNoneId</t>
  </si>
  <si>
    <t>NoFailureModeId</t>
  </si>
  <si>
    <t>DiagnosticDeviceRestartedBecauseAllPowerWasRemovedId</t>
  </si>
  <si>
    <t>Telematics device fault: all power removed - device restarted</t>
  </si>
  <si>
    <t>DebugRecord</t>
  </si>
  <si>
    <t>InvalidDate</t>
  </si>
  <si>
    <t>7000000000CC762203000000000000</t>
  </si>
  <si>
    <t>2300000000D0560101000000000000</t>
  </si>
  <si>
    <t>6F000000000087C300000000000000</t>
  </si>
  <si>
    <t>6F000000000033EB004E004E000000</t>
  </si>
  <si>
    <t>6F0D0000000549EBDF0703020B3003</t>
  </si>
  <si>
    <t>230A000000B3530100000000000000</t>
  </si>
  <si>
    <t>UnknownData</t>
  </si>
  <si>
    <t>12012114002097AF07FFFFFFFF0000</t>
  </si>
  <si>
    <t>700A00000003970000000000000000</t>
  </si>
  <si>
    <t>70060000005B150000000000000000</t>
  </si>
  <si>
    <t>700300000000540300000000000000</t>
  </si>
  <si>
    <t>2D02000000001F0001010000000000</t>
  </si>
  <si>
    <t>130000DF0703020B30350300000000</t>
  </si>
  <si>
    <t>6F0D0000000585C3FD75FD75000000</t>
  </si>
  <si>
    <t>700C00000085350100010024001000</t>
  </si>
  <si>
    <t>700A00000006540F00000000000000</t>
  </si>
  <si>
    <t>700C0000007D32540000001A17C018</t>
  </si>
  <si>
    <t>1241542B555245473F0D0000000000</t>
  </si>
  <si>
    <t>701E000000308F0000000000000000</t>
  </si>
  <si>
    <t>701D000000B88C696E7465726E6500</t>
  </si>
  <si>
    <t>6F1D000000B85CC3696E7465726E65</t>
  </si>
  <si>
    <t>701A00000020920000000000000000</t>
  </si>
  <si>
    <t>701A0000001E890E00000000000000</t>
  </si>
  <si>
    <t>701C00000005150000000000000000</t>
  </si>
  <si>
    <t>132B555245473A20302C3400300030</t>
  </si>
  <si>
    <t>701500000008150000000000000000</t>
  </si>
  <si>
    <t>70130000003032540000001A17C018</t>
  </si>
  <si>
    <t>700E0000000B150000000000000000</t>
  </si>
  <si>
    <t>13882B4353513A2031342C34003000</t>
  </si>
  <si>
    <t>701F00000083510000000000000000</t>
  </si>
  <si>
    <t>701E000000C1810000000000000000</t>
  </si>
  <si>
    <t>6F1F0000007D5DC34E545420444F80</t>
  </si>
  <si>
    <t>201F00000057331568155301001900</t>
  </si>
  <si>
    <t>6F1F0000007D63C308000000000000</t>
  </si>
  <si>
    <t>702000000046780000000000000000</t>
  </si>
  <si>
    <t>702300000002150000000000000000</t>
  </si>
  <si>
    <t>7029000000FF150000000000000000</t>
  </si>
  <si>
    <t>7037000000990A4601E40000000000</t>
  </si>
  <si>
    <t>6F37000000B363C308000000000000</t>
  </si>
  <si>
    <t>7037000000CC0AF3000E0100000000</t>
  </si>
  <si>
    <t>7038000000CF0A25013C0100000000</t>
  </si>
  <si>
    <t>UnitOfMeasureVoltsId</t>
  </si>
  <si>
    <t>V</t>
  </si>
  <si>
    <t>DiagnosticCrankingVoltageId</t>
  </si>
  <si>
    <t>Cranking voltage</t>
  </si>
  <si>
    <t>6F490000000663C308000000000000</t>
  </si>
  <si>
    <t>204900000057331568155321000600</t>
  </si>
  <si>
    <t>2D4900000006940801010000000000</t>
  </si>
  <si>
    <t>2D4900000006140001010000000000</t>
  </si>
  <si>
    <t>7049000000005FBC18000000000000</t>
  </si>
  <si>
    <t>7049000000004E0000000000000000</t>
  </si>
  <si>
    <t>6F49000000006AEB0B160000000000</t>
  </si>
  <si>
    <t>2347000000667C0113010000000000</t>
  </si>
  <si>
    <t>6F43000000023EEB13010000000000</t>
  </si>
  <si>
    <t>233D00000066450101460100000000</t>
  </si>
  <si>
    <t>703C000000E60A5801460100000000</t>
  </si>
  <si>
    <t>704900000006300600000000000000</t>
  </si>
  <si>
    <t>DiagnosticIgnitionId</t>
  </si>
  <si>
    <t>日本, 〒252-0206 神奈川県相模原市中央区淵野辺５丁目６−５</t>
  </si>
  <si>
    <t>Next</t>
  </si>
  <si>
    <t>GeoZoneDetected</t>
  </si>
  <si>
    <t>040000000000000000000000000000</t>
  </si>
  <si>
    <t>UnitOfMeasureRevolutionsPerMinuteId</t>
  </si>
  <si>
    <t>RPM</t>
  </si>
  <si>
    <t>DiagnosticEngineSpeedId</t>
  </si>
  <si>
    <t>Engine RPM</t>
  </si>
  <si>
    <t>EnginePidSupportDebug</t>
  </si>
  <si>
    <t>E90088180011000000000000000000</t>
  </si>
  <si>
    <t>E800BE3FA813000000000000000000</t>
  </si>
  <si>
    <t>2D4900000007140001010000000000</t>
  </si>
  <si>
    <t>324900000007190100010000000000</t>
  </si>
  <si>
    <t>6F49000000076AEB0B170000000000</t>
  </si>
  <si>
    <t>6F490000000798EB00000000000000</t>
  </si>
  <si>
    <t>70490000000DDE0000000000000000</t>
  </si>
  <si>
    <t>6F490000000D6AEB06170000000000</t>
  </si>
  <si>
    <t>70490000002952E900881800110000</t>
  </si>
  <si>
    <t>70490000002952E800BE3FA8130000</t>
  </si>
  <si>
    <t>6F4900000036E1EAE8070000000000</t>
  </si>
  <si>
    <t>6F49000000436AEB23170000000000</t>
  </si>
  <si>
    <t>6F49000000506AEB4C170000000000</t>
  </si>
  <si>
    <t>InvalidGpsReason</t>
  </si>
  <si>
    <t>000000000000000000000000000000</t>
  </si>
  <si>
    <t>MaxValue</t>
  </si>
  <si>
    <t>6F49000000C149EBDF0703020B3103</t>
  </si>
  <si>
    <t>12012114008081B007090000007E2B</t>
  </si>
  <si>
    <t>130200DF0703020B31350301000000</t>
  </si>
  <si>
    <t>6F49000000C185C301070107010000</t>
  </si>
  <si>
    <t>704A0000001C52E900881800110000</t>
  </si>
  <si>
    <t>704A0000001D52E800BE3FA8130000</t>
  </si>
  <si>
    <t>204A00000057331568155320002800</t>
  </si>
  <si>
    <t>E92000000001000000000000000000</t>
  </si>
  <si>
    <t>E82080159011000000000000000000</t>
  </si>
  <si>
    <t>E940C0000000000000000000000000</t>
  </si>
  <si>
    <t>E840FAD00000000000000000000000</t>
  </si>
  <si>
    <t>CanBusStatusAtIgnitionOn</t>
  </si>
  <si>
    <t>CurveZeroSpeed</t>
  </si>
  <si>
    <t>DebugFuelSystemStatus</t>
  </si>
  <si>
    <t>020000000000000000000000000000</t>
  </si>
  <si>
    <t>EngineDataSource</t>
  </si>
  <si>
    <t>091700000000000000000000000000</t>
  </si>
  <si>
    <t>UnitOfMeasureDegreesCelsiusId</t>
  </si>
  <si>
    <t>C</t>
  </si>
  <si>
    <t>DiagnosticEngineCoolantTemperatureId</t>
  </si>
  <si>
    <t>Engine coolant temperature</t>
  </si>
  <si>
    <t>IntermittentConnectionTestAddressUsed</t>
  </si>
  <si>
    <t>360200000000000000000000000000</t>
  </si>
  <si>
    <t>IntermittentConnectionTestProtocolCanObd</t>
  </si>
  <si>
    <t>620000000000000000000000000000</t>
  </si>
  <si>
    <t>640000000000000000000000000000</t>
  </si>
  <si>
    <t>日本, 〒252-0206 神奈川県相模原市中央区淵野辺５丁目７−１６</t>
  </si>
  <si>
    <t>CurveBased</t>
  </si>
  <si>
    <t>CurveSpeed</t>
  </si>
  <si>
    <t>630000000000000000000000000000</t>
  </si>
  <si>
    <t>日本, 〒252-0206 神奈川県相模原市中央区淵野辺５丁目４−９</t>
  </si>
  <si>
    <t>日本, 〒252-0206 神奈川県相模原市中央区淵野辺５丁目８−１</t>
  </si>
  <si>
    <t>日本, 神奈川県相模原市中央区 県道57号線</t>
  </si>
  <si>
    <t>DiagnosticGoDeviceVoltageId</t>
  </si>
  <si>
    <t>Telematics device voltage</t>
  </si>
  <si>
    <t>InvalidFuelConsumptionDetected</t>
  </si>
  <si>
    <t>070000000000000000000000000000</t>
  </si>
  <si>
    <t>FuelPulseInvalid</t>
  </si>
  <si>
    <t>CanReceiveErrorsDetected</t>
  </si>
  <si>
    <t>08080900800D000000000000000000</t>
  </si>
  <si>
    <t>日本, 〒252-0202 神奈川県相模原市中央区淵野辺本町２丁目 県道57号線</t>
  </si>
  <si>
    <t>CurveTimeOut</t>
  </si>
  <si>
    <t>日本, 〒252-0202 神奈川県相模原市中央区淵野辺本町２丁目２０ 県道57号線</t>
  </si>
  <si>
    <t>日本, 〒194-0034 東京都町田市根岸町 県道57号線</t>
  </si>
  <si>
    <t>日本, 東京都町田市 県道57号線</t>
  </si>
  <si>
    <t>060000000000000000000000000000</t>
  </si>
  <si>
    <t>日本, 東京都町田市 町田街道</t>
  </si>
  <si>
    <t>日本, 〒194-0034 東京都町田市根岸町 町田街道</t>
  </si>
  <si>
    <t>日本, 〒194-0214 東京都町田市矢部町 町田街道</t>
  </si>
  <si>
    <t>日本, 〒194-0213 東京都町田市常盤町 町田街道</t>
  </si>
  <si>
    <t>日本, 常盤（バス）（東京）</t>
  </si>
  <si>
    <t>DiagnosticAccelerometerCalibratedId</t>
  </si>
  <si>
    <t>Accelerometer calibrated (1=calibrated)</t>
  </si>
  <si>
    <t>ReverseDetectionStarted</t>
  </si>
  <si>
    <t>E7FFF7FF0500E9FF00000000000000</t>
  </si>
  <si>
    <t>ConfirmReverseDetectStage1</t>
  </si>
  <si>
    <t>E7FFFFFF0000000000000000000000</t>
  </si>
  <si>
    <t>ReverseNotConfirmedDueToZeroSpeed</t>
  </si>
  <si>
    <t>3F0000000000000000000000000000</t>
  </si>
  <si>
    <t>000000000700F4FF00000000000000</t>
  </si>
  <si>
    <t>160000000000000000000000000000</t>
  </si>
  <si>
    <t>0000E9FFD6FFFCFF00000000000000</t>
  </si>
  <si>
    <t>FBFFFFFF0000000000000000000000</t>
  </si>
  <si>
    <t>19000000DFFFE4FF00000000000000</t>
  </si>
  <si>
    <t>D1FFFFFF0000000000000000000000</t>
  </si>
  <si>
    <t>E8FFFBFFF7FFECFF00000000000000</t>
  </si>
  <si>
    <t>0C0000000000000000000000000000</t>
  </si>
  <si>
    <t>1D00F1FF0000FEFF00000000000000</t>
  </si>
  <si>
    <t>ReverseNotConfirmedDueToForwardAcceleration</t>
  </si>
  <si>
    <t>030000000000000000000000000000</t>
  </si>
  <si>
    <t>MultilineResponseTimeout</t>
  </si>
  <si>
    <t>000005000000000000000000000000</t>
  </si>
  <si>
    <t>100000000000000000000000000000</t>
  </si>
  <si>
    <t>UnitOfMeasureLitersId</t>
  </si>
  <si>
    <t>L</t>
  </si>
  <si>
    <t>DiagnosticDeviceTotalFuelId</t>
  </si>
  <si>
    <t>Total fuel used (since telematics device install)</t>
  </si>
  <si>
    <t>DebugFuel</t>
  </si>
  <si>
    <t>022200000047030000000000000000</t>
  </si>
  <si>
    <t>DebugGoDeviceDistance</t>
  </si>
  <si>
    <t>750C00000000000000000000000000</t>
  </si>
  <si>
    <t>CanBusStatusDuringTrip</t>
  </si>
  <si>
    <t>DiagnosticDeviceTotalIdleFuelId</t>
  </si>
  <si>
    <t>Total fuel used while idling (since telematics device install)</t>
  </si>
  <si>
    <t>DiagnosticTotalTripFuelUsedId</t>
  </si>
  <si>
    <t>Trip fuel used</t>
  </si>
  <si>
    <t>DiagnosticTotalTripIdleFuelUsedId</t>
  </si>
  <si>
    <t>Trip idle fuel used</t>
  </si>
  <si>
    <t>UnitOfMeasureMetersPerSecondSquaredId</t>
  </si>
  <si>
    <t>m/s^2</t>
  </si>
  <si>
    <t>DiagnosticAccelerationUpDownId</t>
  </si>
  <si>
    <t>Acceleration up down</t>
  </si>
  <si>
    <t>RpmTimeout</t>
  </si>
  <si>
    <t>530BFFBF0000000000000000000000</t>
  </si>
  <si>
    <t>aDD1bu5XaYUiSdhyYEni8OA</t>
  </si>
  <si>
    <t>Vehicle active (idle or driving)</t>
  </si>
  <si>
    <t>DiagnosticAccelerationForwardBrakingId</t>
  </si>
  <si>
    <t>Acceleration forward or braking</t>
  </si>
  <si>
    <t>DiagnosticAccelerationSideToSideId</t>
  </si>
  <si>
    <t>Acceleration side to side</t>
  </si>
  <si>
    <t>UnitOfMeasureRadiansId</t>
  </si>
  <si>
    <t>rad</t>
  </si>
  <si>
    <t>ak5ybQbyIzEWApejbJgRAng</t>
  </si>
  <si>
    <t>Vehicle angle of inclination</t>
  </si>
  <si>
    <t>CanBusStatusAtIgnitionOff</t>
  </si>
  <si>
    <t>CanBusStatusBetweenTrips</t>
  </si>
  <si>
    <t>SetServerIndex</t>
  </si>
  <si>
    <t>ModemNetworkApn</t>
  </si>
  <si>
    <t>696E7465726E650000000000000000</t>
  </si>
  <si>
    <t>ConnectedToServer</t>
  </si>
  <si>
    <t>ModemConnectionSuccess</t>
  </si>
  <si>
    <t>4E545420444F800000000000000000</t>
  </si>
  <si>
    <t>440000000000000000000000000000</t>
  </si>
  <si>
    <t>RpmBasedIgn</t>
  </si>
  <si>
    <t>001400000000000000000000000000</t>
  </si>
  <si>
    <t>DiagnosticOBDCAN11Bit500KEngineProtocolDetectedId</t>
  </si>
  <si>
    <t>OBD\CAN 11bit 500k engine protocol detected</t>
  </si>
  <si>
    <t>DiagnosticDriverSeatbeltId</t>
  </si>
  <si>
    <t>Driver seatbelt (1=unbuckled)</t>
  </si>
  <si>
    <t>010000000000000000000000000000</t>
  </si>
  <si>
    <t>DiagnosticPassengerOccupancyId</t>
  </si>
  <si>
    <t>Passenger occupancy (1=occupied)</t>
  </si>
  <si>
    <t>DiagnosticPassengerSeatbeltViolationId</t>
  </si>
  <si>
    <t>Passenger seatbelt violation (1=unbuckled)</t>
  </si>
  <si>
    <t>DebugInReverseHighSensitivity</t>
  </si>
  <si>
    <t>0000FDFFCFFF000000000000000000</t>
  </si>
  <si>
    <t>DiagnosticGearPositionId</t>
  </si>
  <si>
    <t>Gear position</t>
  </si>
  <si>
    <t>OutOfReverseZeroSpeed</t>
  </si>
  <si>
    <t>0E0000000000000000000000000000</t>
  </si>
  <si>
    <t>1300EDFFFDFFD9FF00000000000000</t>
  </si>
  <si>
    <t>D2FFFFFF0000000000000000000000</t>
  </si>
  <si>
    <t>5F0000000000000000000000000000</t>
  </si>
  <si>
    <t>00000000BFFFE3FF00000000000000</t>
  </si>
  <si>
    <t>90FFFFFF0000000000000000000000</t>
  </si>
  <si>
    <t>ReverseMovementConfirmed</t>
  </si>
  <si>
    <t>E8FFFFFF0000000000000000000000</t>
  </si>
  <si>
    <t>82FFFFFF0000000000000000000000</t>
  </si>
  <si>
    <t>DebugErrorRestartModem</t>
  </si>
  <si>
    <t>ABAAB7A9BAB9B8B700000000000000</t>
  </si>
  <si>
    <t>ModemManagerRetryFail</t>
  </si>
  <si>
    <t>ErrorRestartGsmcdmaStateMachine</t>
  </si>
  <si>
    <t>0300AAAB4200922800000000000000</t>
  </si>
  <si>
    <t>ErrorRestartModemManagerStateMachine</t>
  </si>
  <si>
    <t>A70A06012116000200000000000000</t>
  </si>
  <si>
    <t>DebugErrorRestartModemManager</t>
  </si>
  <si>
    <t>060A08090809080600000000000000</t>
  </si>
  <si>
    <t>0203060A0809080900000000000000</t>
  </si>
  <si>
    <t>870302000016000200000000000000</t>
  </si>
  <si>
    <t>7886ABAAB7A9BAB900000000000000</t>
  </si>
  <si>
    <t>040086784200920000000000000000</t>
  </si>
  <si>
    <t>日本, 〒194-0034 東京都町田市根岸町１０１０−６</t>
  </si>
  <si>
    <t>日本, 桜美林学園前（バス）（東京）</t>
  </si>
  <si>
    <t>日本, 〒194-0034 東京都町田市根岸町１００８−１３</t>
  </si>
  <si>
    <t>日本, 〒194-0034 東京都町田市根岸町１００８−１０</t>
  </si>
  <si>
    <t>6F0000000000000000000000000000</t>
  </si>
  <si>
    <t>日本, 〒194-0214 東京都町田市矢部町１３−６</t>
  </si>
  <si>
    <t>DebugOdometerResponse</t>
  </si>
  <si>
    <t>000080000000000000000000000000</t>
  </si>
  <si>
    <t>4A0000000000000000000000000000</t>
  </si>
  <si>
    <t>DiagnosticParkingBrakeId</t>
  </si>
  <si>
    <t>Parking brake (1=on)</t>
  </si>
  <si>
    <t>日本, 〒194-0214 東京都町田市矢部町１２−１</t>
  </si>
  <si>
    <t>日本, 〒194-0214 東京都町田市矢部町７−４</t>
  </si>
  <si>
    <t>日本, 〒194-0214 東京都町田市矢部町５−５</t>
  </si>
  <si>
    <t xml:space="preserve">1 </t>
  </si>
  <si>
    <t>14.2542 V</t>
  </si>
  <si>
    <t>14.00374 V</t>
  </si>
  <si>
    <t>13.93218 V</t>
  </si>
  <si>
    <t>1600.25 RPM</t>
  </si>
  <si>
    <t>1611.5 RPM</t>
  </si>
  <si>
    <t>25 C</t>
  </si>
  <si>
    <t>935.75 RPM</t>
  </si>
  <si>
    <t>1427 RPM</t>
  </si>
  <si>
    <t>29 C</t>
  </si>
  <si>
    <t>885.75 RPM</t>
  </si>
  <si>
    <t>1981.5 RPM</t>
  </si>
  <si>
    <t>1124.75 RPM</t>
  </si>
  <si>
    <t>854.75 RPM</t>
  </si>
  <si>
    <t>2025.5 RPM</t>
  </si>
  <si>
    <t>1231.5 RPM</t>
  </si>
  <si>
    <t>14.2533331 V</t>
  </si>
  <si>
    <t>13.7882233 V</t>
  </si>
  <si>
    <t>1767.5 RPM</t>
  </si>
  <si>
    <t>1010.25 RPM</t>
  </si>
  <si>
    <t>14.146 V</t>
  </si>
  <si>
    <t>1810 RPM</t>
  </si>
  <si>
    <t>14.0744438 V</t>
  </si>
  <si>
    <t>45 C</t>
  </si>
  <si>
    <t>13.7166662 V</t>
  </si>
  <si>
    <t>791.25 RPM</t>
  </si>
  <si>
    <t>1909 RPM</t>
  </si>
  <si>
    <t>1931.5 RPM</t>
  </si>
  <si>
    <t>1146.75 RPM</t>
  </si>
  <si>
    <t>14.0028887 V</t>
  </si>
  <si>
    <t>781.75 RPM</t>
  </si>
  <si>
    <t>1575.75 RPM</t>
  </si>
  <si>
    <t>2101.25 RPM</t>
  </si>
  <si>
    <t>1468 RPM</t>
  </si>
  <si>
    <t>60 C</t>
  </si>
  <si>
    <t>767.75 RPM</t>
  </si>
  <si>
    <t>1670.75 RPM</t>
  </si>
  <si>
    <t>1563.5 RPM</t>
  </si>
  <si>
    <t>924.5 RPM</t>
  </si>
  <si>
    <t xml:space="preserve">0 </t>
  </si>
  <si>
    <t>13.3588886 V</t>
  </si>
  <si>
    <t>0.34 L</t>
  </si>
  <si>
    <t>0.08 L</t>
  </si>
  <si>
    <t>0 RPM</t>
  </si>
  <si>
    <t>9.35554409027099 m/s^2</t>
  </si>
  <si>
    <t>0 m/s^2</t>
  </si>
  <si>
    <t>0.261799435 rad</t>
  </si>
  <si>
    <t>13.0368891 V</t>
  </si>
  <si>
    <t>12.7506676 V</t>
  </si>
  <si>
    <t>12.4644442 V</t>
  </si>
  <si>
    <t>12.53676 V</t>
  </si>
  <si>
    <t>12.1074 V</t>
  </si>
  <si>
    <t>7.31288 V</t>
  </si>
  <si>
    <t>9.13766 V</t>
  </si>
  <si>
    <t>10.60464 V</t>
  </si>
  <si>
    <t>10.92666 V</t>
  </si>
  <si>
    <t>11.64226 V</t>
  </si>
  <si>
    <t>9.7085838317871 m/s^2</t>
  </si>
  <si>
    <t xml:space="preserve">-1 </t>
  </si>
  <si>
    <t>1069.5 RPM</t>
  </si>
  <si>
    <t>12.1066666 V</t>
  </si>
  <si>
    <t>12.32208 V</t>
  </si>
  <si>
    <t>12.85878 V</t>
  </si>
  <si>
    <t>12.93034 V</t>
  </si>
  <si>
    <t>12.21474 V</t>
  </si>
  <si>
    <t>12.89456 V</t>
  </si>
  <si>
    <t>13.2873335 V</t>
  </si>
  <si>
    <t>48 C</t>
  </si>
  <si>
    <t>13.6093321 V</t>
  </si>
  <si>
    <t>779 RPM</t>
  </si>
  <si>
    <t>9.53206253051757 m/s^2</t>
  </si>
  <si>
    <t>1.94171702861785 m/s^2</t>
  </si>
  <si>
    <t>-0.353039413690567 m/s^2</t>
  </si>
  <si>
    <t>2051.75 RPM</t>
  </si>
  <si>
    <t>1182.75 RPM</t>
  </si>
  <si>
    <t>14.217555 V</t>
  </si>
  <si>
    <t>13.2515554 V</t>
  </si>
  <si>
    <t>59 C</t>
  </si>
  <si>
    <t>12.8222218 V</t>
  </si>
  <si>
    <t>1509 RPM</t>
  </si>
  <si>
    <t>-1.94171702861785 m/s^2</t>
  </si>
  <si>
    <t>1.05911803245544 m/s^2</t>
  </si>
  <si>
    <t>13.3946667 V</t>
  </si>
  <si>
    <t>748.25 RPM</t>
  </si>
  <si>
    <t>13.9671116 V</t>
  </si>
  <si>
    <t>782.25 RPM</t>
  </si>
  <si>
    <t>1982.75 RPM</t>
  </si>
  <si>
    <t>1414.25 RPM</t>
  </si>
  <si>
    <t>0.706078827381134 m/s^2</t>
  </si>
  <si>
    <t>-3.00083494186401 m/s^2</t>
  </si>
  <si>
    <t>0.529559075832366 m/s^2</t>
  </si>
  <si>
    <t>0.882598519325256 m/s^2</t>
  </si>
  <si>
    <t>13.8597775 V</t>
  </si>
  <si>
    <t>1447.25 RPM</t>
  </si>
  <si>
    <t>-1.23563802242279 m/s^2</t>
  </si>
  <si>
    <t>9.17902469635009 m/s^2</t>
  </si>
  <si>
    <t>1741.5 RPM</t>
  </si>
  <si>
    <t>1036 RPM</t>
  </si>
  <si>
    <t>734.25 RPM</t>
  </si>
  <si>
    <t>1820.75 RPM</t>
  </si>
  <si>
    <t>1128.75 RPM</t>
  </si>
  <si>
    <t>65 C</t>
  </si>
  <si>
    <t>1081 RPM</t>
  </si>
  <si>
    <t>1857 RPM</t>
  </si>
  <si>
    <t>1248.75 RPM</t>
  </si>
  <si>
    <t>13.573555 V</t>
  </si>
  <si>
    <t xml:space="preserve">126 </t>
  </si>
</sst>
</file>

<file path=xl/styles.xml><?xml version="1.0" encoding="utf-8"?>
<styleSheet xmlns="http://schemas.openxmlformats.org/spreadsheetml/2006/main">
  <numFmts count="10">
    <numFmt numFmtId="168" formatCode="_(&quot;$&quot;* #,##0_);_(&quot;$&quot;* \(#,##0\);_(&quot;$&quot;* &quot;-&quot;_);_(@_)"/>
    <numFmt numFmtId="169" formatCode="_(* #,##0_);_(* \(#,##0\);_(* &quot;-&quot;_);_(@_)"/>
    <numFmt numFmtId="170" formatCode="_(&quot;$&quot;* #,##0.00_);_(&quot;$&quot;* \(#,##0.00\);_(&quot;$&quot;* &quot;-&quot;??_);_(@_)"/>
    <numFmt numFmtId="171" formatCode="_(* #,##0.00_);_(* \(#,##0.00\);_(* &quot;-&quot;??_);_(@_)"/>
    <numFmt numFmtId="172" formatCode="dd/mm/yyyy\ h:mm:ss\ AM/PM"/>
    <numFmt numFmtId="174" formatCode="[$-F800]dddd\,\ mmmm\ dd\,\ yyyy"/>
    <numFmt numFmtId="176" formatCode="[$-F400]h:mm:ss\ AM/PM"/>
    <numFmt numFmtId="177" formatCode="0;\-0;;@"/>
    <numFmt numFmtId="178" formatCode="mmm\ dd\,\ yyyy"/>
    <numFmt numFmtId="179" formatCode="mmm\ dd\,\ yyyy\ h:mm:ss\ AM/PM"/>
  </numFmts>
  <fonts count="14">
    <font>
      <sz val="10"/>
      <name val="Arial"/>
      <family val="2"/>
    </font>
    <font>
      <sz val="10"/>
      <name val="Arial"/>
      <family val="2"/>
    </font>
    <font>
      <b/>
      <sz val="7"/>
      <color indexed="8"/>
      <name val="Tahoma"/>
      <family val="2"/>
    </font>
    <font>
      <sz val="8"/>
      <color indexed="8"/>
      <name val="Tahoma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8"/>
      <color theme="0"/>
      <name val="Calibri"/>
      <family val="2"/>
      <scheme val="minor"/>
    </font>
    <font>
      <sz val="11"/>
      <color theme="3"/>
      <name val="Calibri"/>
      <family val="2"/>
      <scheme val="minor"/>
    </font>
    <font>
      <b/>
      <sz val="11"/>
      <color theme="0"/>
      <name val="Calibri"/>
      <family val="2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</font>
    <font>
      <b/>
      <sz val="8"/>
      <color theme="1"/>
      <name val="Tahoma"/>
      <family val="2"/>
    </font>
    <font>
      <sz val="11"/>
      <name val="Calibri"/>
      <family val="2"/>
      <scheme val="minor"/>
    </font>
    <font>
      <b/>
      <sz val="11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11"/>
      </patternFill>
    </fill>
    <fill>
      <patternFill patternType="solid">
        <fgColor indexed="36"/>
      </patternFill>
    </fill>
    <fill>
      <patternFill patternType="solid">
        <fgColor indexed="52"/>
      </patternFill>
    </fill>
    <fill>
      <patternFill patternType="solid">
        <fgColor indexed="22"/>
        <bgColor indexed="64"/>
      </patternFill>
    </fill>
    <fill>
      <patternFill patternType="solid">
        <fgColor theme="1" tint="0.24994659260841701"/>
        <bgColor indexed="64"/>
      </patternFill>
    </fill>
    <fill>
      <patternFill patternType="solid">
        <fgColor theme="1" tint="0.499984740745262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medium">
        <color indexed="8"/>
      </bottom>
      <diagonal/>
    </border>
  </borders>
  <cellStyleXfs count="19">
    <xf numFmtId="0" fontId="0" fillId="0" borderId="0"/>
    <xf numFmtId="0" fontId="4" fillId="2" borderId="0" applyNumberFormat="0" applyBorder="0" applyAlignment="0" applyProtection="0"/>
    <xf numFmtId="0" fontId="4" fillId="3" borderId="0" applyNumberFormat="0" applyBorder="0" applyAlignment="0" applyProtection="0"/>
    <xf numFmtId="0" fontId="4" fillId="4" borderId="0" applyNumberFormat="0" applyBorder="0" applyAlignment="0" applyProtection="0"/>
    <xf numFmtId="0" fontId="4" fillId="5" borderId="0" applyNumberFormat="0" applyBorder="0" applyAlignment="0" applyProtection="0"/>
    <xf numFmtId="0" fontId="4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7" borderId="0" applyNumberFormat="0" applyBorder="0" applyAlignment="0" applyProtection="0"/>
    <xf numFmtId="0" fontId="5" fillId="8" borderId="0" applyNumberFormat="0" applyBorder="0" applyAlignment="0" applyProtection="0"/>
    <xf numFmtId="171" fontId="1" fillId="0" borderId="0" applyFont="0" applyFill="0" applyBorder="0" applyAlignment="0" applyProtection="0"/>
    <xf numFmtId="169" fontId="1" fillId="0" borderId="0" applyFont="0" applyFill="0" applyBorder="0" applyAlignment="0" applyProtection="0"/>
    <xf numFmtId="170" fontId="1" fillId="0" borderId="0" applyFont="0" applyFill="0" applyBorder="0" applyAlignment="0" applyProtection="0"/>
    <xf numFmtId="168" fontId="1" fillId="0" borderId="0" applyFont="0" applyFill="0" applyBorder="0" applyAlignment="0" applyProtection="0"/>
    <xf numFmtId="0" fontId="6" fillId="10" borderId="0" applyNumberFormat="0"/>
    <xf numFmtId="0" fontId="7" fillId="0" borderId="0" applyNumberFormat="0" applyAlignment="0"/>
    <xf numFmtId="0" fontId="8" fillId="11" borderId="0" applyNumberFormat="0"/>
    <xf numFmtId="178" fontId="5" fillId="10" borderId="0"/>
    <xf numFmtId="0" fontId="9" fillId="0" borderId="0" applyNumberFormat="0"/>
    <xf numFmtId="0" fontId="10" fillId="0" borderId="0" applyNumberFormat="0"/>
  </cellStyleXfs>
  <cellXfs count="28">
    <xf numFmtId="0" fontId="0" fillId="0" borderId="0" xfId="0"/>
    <xf numFmtId="174" fontId="0" fillId="0" borderId="0" xfId="0" applyNumberFormat="1"/>
    <xf numFmtId="176" fontId="0" fillId="0" borderId="0" xfId="0" applyNumberFormat="1"/>
    <xf numFmtId="0" fontId="2" fillId="9" borderId="1" xfId="0" applyFont="1" applyFill="1" applyBorder="1" applyAlignment="1">
      <alignment horizontal="center" wrapText="1"/>
    </xf>
    <xf numFmtId="0" fontId="3" fillId="0" borderId="0" xfId="0" applyFont="1" applyAlignment="1">
      <alignment horizontal="left"/>
    </xf>
    <xf numFmtId="172" fontId="3" fillId="0" borderId="0" xfId="0" applyNumberFormat="1" applyFont="1" applyAlignment="1">
      <alignment horizontal="left"/>
    </xf>
    <xf numFmtId="0" fontId="11" fillId="0" borderId="0" xfId="0" applyFont="1"/>
    <xf numFmtId="0" fontId="12" fillId="0" borderId="0" xfId="0" applyFont="1"/>
    <xf numFmtId="174" fontId="12" fillId="0" borderId="0" xfId="0" applyNumberFormat="1" applyFont="1"/>
    <xf numFmtId="176" fontId="12" fillId="0" borderId="0" xfId="0" applyNumberFormat="1" applyFont="1"/>
    <xf numFmtId="0" fontId="13" fillId="0" borderId="0" xfId="0" applyFont="1"/>
    <xf numFmtId="0" fontId="6" fillId="10" borderId="0" xfId="13"/>
    <xf numFmtId="174" fontId="6" fillId="10" borderId="0" xfId="13" applyNumberFormat="1"/>
    <xf numFmtId="176" fontId="6" fillId="10" borderId="0" xfId="13" applyNumberFormat="1"/>
    <xf numFmtId="178" fontId="5" fillId="10" borderId="0" xfId="16"/>
    <xf numFmtId="0" fontId="9" fillId="0" borderId="0" xfId="17"/>
    <xf numFmtId="172" fontId="7" fillId="0" borderId="0" xfId="14" applyNumberFormat="1"/>
    <xf numFmtId="0" fontId="8" fillId="11" borderId="0" xfId="15"/>
    <xf numFmtId="174" fontId="8" fillId="11" borderId="0" xfId="15" applyNumberFormat="1"/>
    <xf numFmtId="176" fontId="8" fillId="11" borderId="0" xfId="15" applyNumberFormat="1"/>
    <xf numFmtId="0" fontId="7" fillId="0" borderId="0" xfId="14"/>
    <xf numFmtId="0" fontId="7" fillId="0" borderId="0" xfId="14" applyNumberFormat="1"/>
    <xf numFmtId="177" fontId="7" fillId="0" borderId="0" xfId="14" applyNumberFormat="1"/>
    <xf numFmtId="179" fontId="7" fillId="0" borderId="0" xfId="14" applyNumberFormat="1" applyAlignment="1">
      <alignment horizontal="left"/>
    </xf>
    <xf numFmtId="0" fontId="0" fillId="0" borderId="0" xfId="0" pivotButton="1"/>
    <xf numFmtId="178" fontId="0" fillId="0" borderId="0" xfId="0" applyNumberFormat="1"/>
    <xf numFmtId="178" fontId="7" fillId="0" borderId="0" xfId="14" applyNumberFormat="1" applyAlignment="1">
      <alignment horizontal="left"/>
    </xf>
    <xf numFmtId="176" fontId="7" fillId="0" borderId="0" xfId="14" applyNumberFormat="1" applyAlignment="1">
      <alignment horizontal="left"/>
    </xf>
  </cellXfs>
  <cellStyles count="19">
    <cellStyle name="20% - Accent1" xfId="1" builtinId="30" customBuiltin="1"/>
    <cellStyle name="20% - Accent2" xfId="2" builtinId="34" customBuiltin="1"/>
    <cellStyle name="20% - Accent3" xfId="3" builtinId="38" customBuiltin="1"/>
    <cellStyle name="20% - Accent4" xfId="4" builtinId="42" customBuiltin="1"/>
    <cellStyle name="40% - Accent3" xfId="5" builtinId="39" customBuiltin="1"/>
    <cellStyle name="60% - Accent3" xfId="6" builtinId="40" customBuiltin="1"/>
    <cellStyle name="60% - Accent4" xfId="7" builtinId="44" customBuiltin="1"/>
    <cellStyle name="60% - Accent6" xfId="8" builtinId="52" customBuiltin="1"/>
    <cellStyle name="Comma" xfId="9" builtinId="3" customBuiltin="1"/>
    <cellStyle name="Comma [0]" xfId="10" builtinId="6" customBuiltin="1"/>
    <cellStyle name="Currency" xfId="11" builtinId="4" customBuiltin="1"/>
    <cellStyle name="Currency [0]" xfId="12" builtinId="7" customBuiltin="1"/>
    <cellStyle name="Heading" xfId="13"/>
    <cellStyle name="Normal" xfId="0" builtinId="0" customBuiltin="1"/>
    <cellStyle name="Report Body" xfId="14"/>
    <cellStyle name="Report Column Header" xfId="15"/>
    <cellStyle name="Report Creation DateTime" xfId="16"/>
    <cellStyle name="Report Field Name" xfId="17"/>
    <cellStyle name="Report Name" xfId="18"/>
  </cellStyles>
  <dxfs count="29">
    <dxf>
      <fill>
        <patternFill>
          <bgColor rgb="FFFFDEA3"/>
        </patternFill>
      </fill>
    </dxf>
    <dxf>
      <fill>
        <patternFill>
          <bgColor rgb="FFBDFFBD"/>
        </patternFill>
      </fill>
    </dxf>
    <dxf>
      <fill>
        <patternFill>
          <bgColor rgb="FFFFAAAA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theme="4" tint="-0.499984740745262"/>
      </font>
      <fill>
        <patternFill>
          <bgColor theme="3" tint="0.79998168889431442"/>
        </patternFill>
      </fill>
    </dxf>
    <dxf>
      <fill>
        <patternFill patternType="solid">
          <fgColor theme="5" tint="0.79995117038483843"/>
          <bgColor theme="0" tint="-4.9989318521683403E-2"/>
        </patternFill>
      </fill>
      <border>
        <bottom style="thin">
          <color theme="5" tint="0.39997558519241921"/>
        </bottom>
      </border>
    </dxf>
    <dxf>
      <fill>
        <patternFill patternType="solid">
          <fgColor theme="5" tint="0.79995117038483843"/>
          <bgColor theme="0" tint="-4.9989318521683403E-2"/>
        </patternFill>
      </fill>
      <border>
        <bottom style="thin">
          <color theme="5" tint="0.39997558519241921"/>
        </bottom>
      </border>
    </dxf>
    <dxf>
      <font>
        <b/>
        <color theme="1"/>
      </font>
    </dxf>
    <dxf>
      <font>
        <b/>
        <color theme="1"/>
      </font>
      <border>
        <bottom style="thin">
          <color theme="5" tint="0.39997558519241921"/>
        </bottom>
      </border>
    </dxf>
    <dxf>
      <font>
        <color theme="1"/>
      </font>
    </dxf>
    <dxf>
      <font>
        <b/>
        <i val="0"/>
        <color theme="1"/>
      </font>
      <fill>
        <patternFill>
          <bgColor theme="6" tint="0.79998168889431442"/>
        </patternFill>
      </fill>
      <border>
        <top style="thin">
          <color theme="5"/>
        </top>
        <bottom style="thin">
          <color theme="5"/>
        </bottom>
      </border>
    </dxf>
    <dxf>
      <font>
        <color auto="1"/>
      </font>
      <fill>
        <patternFill patternType="solid">
          <fgColor theme="0" tint="-0.14996795556505021"/>
          <bgColor theme="0" tint="-0.14996795556505021"/>
        </patternFill>
      </fill>
    </dxf>
    <dxf>
      <fill>
        <patternFill patternType="solid">
          <fgColor theme="0" tint="-0.14993743705557422"/>
          <bgColor theme="0" tint="-0.14996795556505021"/>
        </patternFill>
      </fill>
      <border>
        <left style="thin">
          <color theme="0" tint="-0.249977111117893"/>
        </left>
        <right style="thin">
          <color theme="0" tint="-0.249977111117893"/>
        </right>
      </border>
    </dxf>
    <dxf>
      <fill>
        <patternFill>
          <fgColor theme="8"/>
          <bgColor theme="8"/>
        </patternFill>
      </fill>
    </dxf>
    <dxf>
      <font>
        <b/>
        <i val="0"/>
        <color theme="0"/>
      </font>
      <fill>
        <patternFill patternType="solid">
          <fgColor theme="5" tint="0.79992065187536243"/>
          <bgColor theme="1" tint="0.499984740745262"/>
        </patternFill>
      </fill>
      <border>
        <top style="thin">
          <color theme="5" tint="0.39997558519241921"/>
        </top>
      </border>
    </dxf>
    <dxf>
      <font>
        <b/>
        <i val="0"/>
        <color theme="0"/>
      </font>
      <fill>
        <patternFill patternType="solid">
          <fgColor theme="5" tint="0.79992065187536243"/>
          <bgColor theme="1" tint="0.499984740745262"/>
        </patternFill>
      </fill>
      <border>
        <bottom style="thin">
          <color theme="5" tint="0.39997558519241921"/>
        </bottom>
      </border>
    </dxf>
    <dxf>
      <font>
        <color theme="3"/>
      </font>
    </dxf>
    <dxf>
      <fill>
        <patternFill patternType="solid">
          <fgColor theme="5" tint="0.79998168889431442"/>
          <bgColor theme="5" tint="0.79998168889431442"/>
        </patternFill>
      </fill>
      <border>
        <bottom style="thin">
          <color theme="5" tint="0.39997558519241921"/>
        </bottom>
      </border>
    </dxf>
    <dxf>
      <fill>
        <patternFill patternType="solid">
          <fgColor theme="5" tint="0.79998168889431442"/>
          <bgColor theme="5" tint="0.79998168889431442"/>
        </patternFill>
      </fill>
      <border>
        <bottom style="thin">
          <color theme="5" tint="0.39997558519241921"/>
        </bottom>
      </border>
    </dxf>
    <dxf>
      <font>
        <b/>
        <color theme="1"/>
      </font>
    </dxf>
    <dxf>
      <font>
        <b/>
        <color theme="1"/>
      </font>
      <border>
        <bottom style="thin">
          <color theme="5" tint="0.39997558519241921"/>
        </bottom>
      </border>
    </dxf>
    <dxf>
      <font>
        <color theme="1"/>
      </font>
    </dxf>
    <dxf>
      <font>
        <b/>
        <i val="0"/>
        <color theme="1"/>
      </font>
      <fill>
        <patternFill>
          <bgColor theme="6" tint="0.79998168889431442"/>
        </patternFill>
      </fill>
      <border>
        <top style="thin">
          <color theme="5"/>
        </top>
        <bottom style="thin">
          <color theme="5"/>
        </bottom>
      </border>
    </dxf>
    <dxf>
      <font>
        <color auto="1"/>
      </font>
      <fill>
        <patternFill patternType="solid">
          <fgColor theme="0" tint="-0.14999847407452621"/>
          <bgColor theme="0" tint="-0.14999847407452621"/>
        </patternFill>
      </fill>
    </dxf>
    <dxf>
      <fill>
        <patternFill patternType="solid">
          <fgColor theme="0" tint="-0.14993743705557422"/>
          <bgColor theme="0" tint="-0.14996795556505021"/>
        </patternFill>
      </fill>
      <border>
        <left style="thin">
          <color theme="0" tint="-0.249977111117893"/>
        </left>
        <right style="thin">
          <color theme="0" tint="-0.249977111117893"/>
        </right>
      </border>
    </dxf>
    <dxf>
      <fill>
        <patternFill>
          <fgColor theme="8"/>
          <bgColor theme="8"/>
        </patternFill>
      </fill>
    </dxf>
    <dxf>
      <font>
        <b/>
        <i val="0"/>
        <color theme="0"/>
      </font>
      <fill>
        <patternFill patternType="solid">
          <fgColor theme="5" tint="0.79995117038483843"/>
          <bgColor theme="4"/>
        </patternFill>
      </fill>
      <border>
        <top style="thin">
          <color theme="5" tint="0.39997558519241921"/>
        </top>
      </border>
    </dxf>
    <dxf>
      <font>
        <b/>
        <i val="0"/>
        <color theme="1"/>
      </font>
      <fill>
        <patternFill patternType="solid">
          <fgColor theme="5" tint="0.79995117038483843"/>
          <bgColor theme="5" tint="0.59996337778862885"/>
        </patternFill>
      </fill>
      <border>
        <bottom style="thin">
          <color theme="5" tint="0.39997558519241921"/>
        </bottom>
      </border>
    </dxf>
    <dxf>
      <font>
        <color theme="3"/>
      </font>
    </dxf>
  </dxfs>
  <tableStyles count="2" defaultTableStyle="TableStyleMedium9" defaultPivotStyle="PivotStyleLight16">
    <tableStyle name="PivotStyleLightCheckmate" table="0" count="12">
      <tableStyleElement type="wholeTable" dxfId="28"/>
      <tableStyleElement type="headerRow" dxfId="27"/>
      <tableStyleElement type="totalRow" dxfId="26"/>
      <tableStyleElement type="secondRowStripe" dxfId="25"/>
      <tableStyleElement type="firstColumnStripe" dxfId="24"/>
      <tableStyleElement type="firstSubtotalColumn" dxfId="23"/>
      <tableStyleElement type="firstSubtotalRow" dxfId="22"/>
      <tableStyleElement type="secondSubtotalRow" dxfId="21"/>
      <tableStyleElement type="firstRowSubheading" dxfId="20"/>
      <tableStyleElement type="secondRowSubheading" dxfId="19"/>
      <tableStyleElement type="pageFieldLabels" dxfId="18"/>
      <tableStyleElement type="pageFieldValues" dxfId="17"/>
    </tableStyle>
    <tableStyle name="PivotStyleLightCheckmate 2" table="0" count="12">
      <tableStyleElement type="wholeTable" dxfId="16"/>
      <tableStyleElement type="headerRow" dxfId="15"/>
      <tableStyleElement type="totalRow" dxfId="14"/>
      <tableStyleElement type="secondRowStripe" dxfId="13"/>
      <tableStyleElement type="firstColumnStripe" dxfId="12"/>
      <tableStyleElement type="firstSubtotalColumn" dxfId="11"/>
      <tableStyleElement type="firstSubtotalRow" dxfId="10"/>
      <tableStyleElement type="secondSubtotalRow" dxfId="9"/>
      <tableStyleElement type="firstRowSubheading" dxfId="8"/>
      <tableStyleElement type="secondRowSubheading" dxfId="7"/>
      <tableStyleElement type="pageFieldLabels" dxfId="6"/>
      <tableStyleElement type="pageFieldValues" dxfId="5"/>
    </tableStyle>
  </tableStyle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OnLoad="1" refreshedBy="SYSTEM" refreshedDate="42065.379307754629" createdVersion="1" refreshedVersion="3" recordCount="417" upgradeOnRefresh="1">
  <cacheSource type="worksheet">
    <worksheetSource name="AllData"/>
  </cacheSource>
  <cacheFields count="29">
    <cacheField name="Device" numFmtId="0">
      <sharedItems count="4">
        <s v="デモ機"/>
        <s v="Template Vehicle 1" u="1"/>
        <s v="Template Vehicle 2" u="1"/>
        <s v="Template Vehicle 3" u="1"/>
      </sharedItems>
    </cacheField>
    <cacheField name="Device Group" numFmtId="0">
      <sharedItems count="5">
        <s v="Entire Organization"/>
        <s v="" u="1"/>
        <s v="Template Group 1" u="1"/>
        <s v="Template Group 2" u="1"/>
        <s v="Template Group 3" u="1"/>
      </sharedItems>
    </cacheField>
    <cacheField name="Key ID" numFmtId="0">
      <sharedItems/>
    </cacheField>
    <cacheField name="Date" numFmtId="178">
      <sharedItems containsSemiMixedTypes="0" containsNonDate="0" containsDate="1" containsString="0" minDate="2009-10-05T12:14:58" maxDate="2015-03-02T21:45:29" count="242">
        <d v="2015-03-02T20:48:40"/>
        <d v="2015-03-02T20:49:18"/>
        <d v="2015-03-02T20:49:19"/>
        <d v="2015-03-02T20:49:20"/>
        <d v="2015-03-02T20:49:21"/>
        <d v="2015-03-02T20:49:22"/>
        <d v="2015-03-02T20:49:35"/>
        <d v="2015-03-02T20:49:36"/>
        <d v="2015-03-02T20:49:37"/>
        <d v="2015-03-02T20:49:47"/>
        <d v="2015-03-02T20:49:49"/>
        <d v="2015-03-02T20:49:54"/>
        <d v="2015-03-02T20:49:55"/>
        <d v="2015-03-02T20:49:56"/>
        <d v="2015-03-02T20:49:57"/>
        <d v="2015-03-02T20:49:58"/>
        <d v="2015-03-02T20:49:59"/>
        <d v="2015-03-02T20:50:00"/>
        <d v="2015-03-02T20:50:01"/>
        <d v="2015-03-02T20:50:02"/>
        <d v="2015-03-02T20:50:03"/>
        <d v="2015-03-02T20:50:10"/>
        <d v="2015-03-02T20:50:11"/>
        <d v="2015-03-02T20:50:13"/>
        <d v="2015-03-02T20:50:24"/>
        <d v="2015-03-02T20:50:25"/>
        <d v="2015-03-02T20:50:26"/>
        <d v="2015-03-02T20:50:29"/>
        <d v="2015-03-02T20:50:30"/>
        <d v="2015-03-02T20:50:37"/>
        <d v="2015-03-02T20:50:38"/>
        <d v="2015-03-02T20:50:39"/>
        <d v="2015-03-02T20:50:42"/>
        <d v="2015-03-02T20:50:45"/>
        <d v="2015-03-02T20:50:52"/>
        <d v="2015-03-02T20:50:53"/>
        <d v="2015-03-02T20:50:56"/>
        <d v="2015-03-02T20:51:00"/>
        <d v="2015-03-02T20:51:02"/>
        <d v="2015-03-02T20:51:10"/>
        <d v="2015-03-02T20:51:19"/>
        <d v="2015-03-02T20:51:20"/>
        <d v="2015-03-02T20:51:22"/>
        <d v="2015-03-02T20:51:25"/>
        <d v="2015-03-02T20:51:33"/>
        <d v="2015-03-02T20:51:44"/>
        <d v="2015-03-02T20:51:50"/>
        <d v="2015-03-02T20:51:54"/>
        <d v="2015-03-02T20:52:10"/>
        <d v="2015-03-02T20:52:20"/>
        <d v="2015-03-02T20:52:27"/>
        <d v="2015-03-02T20:52:31"/>
        <d v="2015-03-02T20:52:34"/>
        <d v="2015-03-02T20:52:35"/>
        <d v="2015-03-02T20:52:40"/>
        <d v="2015-03-02T20:52:41"/>
        <d v="2015-03-02T20:52:50"/>
        <d v="2015-03-02T20:53:00"/>
        <d v="2015-03-02T20:53:04"/>
        <d v="2015-03-02T20:53:12"/>
        <d v="2015-03-02T20:53:20"/>
        <d v="2015-03-02T20:53:21"/>
        <d v="2015-03-02T20:53:25"/>
        <d v="2015-03-02T20:53:34"/>
        <d v="2015-03-02T20:53:35"/>
        <d v="2015-03-02T20:53:37"/>
        <d v="2015-03-02T20:53:45"/>
        <d v="2015-03-02T20:54:10"/>
        <d v="2015-03-02T20:54:11"/>
        <d v="2015-03-02T20:54:47"/>
        <d v="2015-03-02T20:54:48"/>
        <d v="2015-03-02T20:54:49"/>
        <d v="2015-03-02T20:54:51"/>
        <d v="2015-03-02T20:54:52"/>
        <d v="2015-03-02T20:54:55"/>
        <d v="2015-03-02T20:54:58"/>
        <d v="2015-03-02T20:55:01"/>
        <d v="2015-03-02T20:55:09"/>
        <d v="2015-03-02T20:55:32"/>
        <d v="2015-03-02T20:55:42"/>
        <d v="2015-03-02T20:55:47"/>
        <d v="2015-03-02T20:55:57"/>
        <d v="2015-03-02T20:56:08"/>
        <d v="2015-03-02T20:56:19"/>
        <d v="2015-03-02T20:56:30"/>
        <d v="2015-03-02T20:56:50"/>
        <d v="2015-03-02T20:56:53"/>
        <d v="2015-03-02T20:56:54"/>
        <d v="2015-03-02T20:57:08"/>
        <d v="2015-03-02T20:57:19"/>
        <d v="2015-03-02T20:57:26"/>
        <d v="2015-03-02T20:57:28"/>
        <d v="2015-03-02T20:57:55"/>
        <d v="2015-03-02T20:58:07"/>
        <d v="2015-03-02T20:58:09"/>
        <d v="2015-03-02T20:58:17"/>
        <d v="2015-03-02T20:58:22"/>
        <d v="2015-03-02T20:58:27"/>
        <d v="2015-03-02T20:58:29"/>
        <d v="2015-03-02T20:58:30"/>
        <d v="2015-03-02T20:58:32"/>
        <d v="2015-03-02T20:58:40"/>
        <d v="2015-03-02T20:59:22"/>
        <d v="2015-03-02T20:59:23"/>
        <d v="2015-03-02T20:59:24"/>
        <d v="2015-03-02T20:59:25"/>
        <d v="2015-03-02T20:59:35"/>
        <d v="2015-03-02T20:59:38"/>
        <d v="2015-03-02T20:59:39"/>
        <d v="2015-03-02T20:59:40"/>
        <d v="2015-03-02T20:59:41"/>
        <d v="2015-03-02T20:59:42"/>
        <d v="2015-03-02T20:59:48"/>
        <d v="2015-03-02T20:59:53"/>
        <d v="2015-03-02T20:59:54"/>
        <d v="2015-03-02T21:00:01"/>
        <d v="2015-03-02T21:00:02"/>
        <d v="2015-03-02T21:00:05"/>
        <d v="2015-03-02T21:00:06"/>
        <d v="2015-03-02T21:00:08"/>
        <d v="2015-03-02T21:00:09"/>
        <d v="2015-03-02T21:00:10"/>
        <d v="2015-03-02T21:00:12"/>
        <d v="2015-03-02T21:00:29"/>
        <d v="2015-03-02T21:00:30"/>
        <d v="2015-03-02T21:00:31"/>
        <d v="2015-03-02T21:00:32"/>
        <d v="2015-03-02T21:00:34"/>
        <d v="2015-03-02T21:00:36"/>
        <d v="2015-03-02T21:00:52"/>
        <d v="2015-03-02T21:00:53"/>
        <d v="2015-03-02T21:01:00"/>
        <d v="2015-03-02T21:01:01"/>
        <d v="2015-03-02T21:01:11"/>
        <d v="2015-03-02T21:01:30"/>
        <d v="2015-03-02T21:03:47"/>
        <d v="2015-03-02T21:07:32"/>
        <d v="2015-03-02T21:08:50"/>
        <d v="2015-03-02T21:32:00"/>
        <d v="2015-03-02T21:32:19"/>
        <d v="2015-03-02T21:32:21"/>
        <d v="2015-03-02T21:36:50"/>
        <d v="2015-03-02T21:36:52"/>
        <d v="2015-03-02T21:37:31"/>
        <d v="2015-03-02T21:38:14"/>
        <d v="2015-03-02T21:38:17"/>
        <d v="2015-03-02T21:38:18"/>
        <d v="2015-03-02T21:38:19"/>
        <d v="2015-03-02T21:38:20"/>
        <d v="2015-03-02T21:38:21"/>
        <d v="2015-03-02T21:38:22"/>
        <d v="2015-03-02T21:38:23"/>
        <d v="2015-03-02T21:38:24"/>
        <d v="2015-03-02T21:38:29"/>
        <d v="2015-03-02T21:38:31"/>
        <d v="2015-03-02T21:38:38"/>
        <d v="2015-03-02T21:38:39"/>
        <d v="2015-03-02T21:38:40"/>
        <d v="2015-03-02T21:38:41"/>
        <d v="2015-03-02T21:39:54"/>
        <d v="2015-03-02T21:39:55"/>
        <d v="2015-03-02T21:40:00"/>
        <d v="2015-03-02T21:40:02"/>
        <d v="2015-03-02T21:40:03"/>
        <d v="2015-03-02T21:40:04"/>
        <d v="2015-03-02T21:40:05"/>
        <d v="2015-03-02T21:40:06"/>
        <d v="2015-03-02T21:40:07"/>
        <d v="2015-03-02T21:40:08"/>
        <d v="2015-03-02T21:40:19"/>
        <d v="2015-03-02T21:40:21"/>
        <d v="2015-03-02T21:40:24"/>
        <d v="2015-03-02T21:40:26"/>
        <d v="2015-03-02T21:40:28"/>
        <d v="2015-03-02T21:40:32"/>
        <d v="2015-03-02T21:40:34"/>
        <d v="2015-03-02T21:40:41"/>
        <d v="2015-03-02T21:40:46"/>
        <d v="2015-03-02T21:40:51"/>
        <d v="2015-03-02T21:40:58"/>
        <d v="2015-03-02T21:41:01"/>
        <d v="2015-03-02T21:41:07"/>
        <d v="2015-03-02T21:41:10"/>
        <d v="2015-03-02T21:41:29"/>
        <d v="2015-03-02T21:41:33"/>
        <d v="2015-03-02T21:41:34"/>
        <d v="2015-03-02T21:41:38"/>
        <d v="2015-03-02T21:41:41"/>
        <d v="2015-03-02T21:41:50"/>
        <d v="2015-03-02T21:41:51"/>
        <d v="2015-03-02T21:41:52"/>
        <d v="2015-03-02T21:41:58"/>
        <d v="2015-03-02T21:42:06"/>
        <d v="2015-03-02T21:42:07"/>
        <d v="2015-03-02T21:42:08"/>
        <d v="2015-03-02T21:42:10"/>
        <d v="2015-03-02T21:42:12"/>
        <d v="2015-03-02T21:42:21"/>
        <d v="2015-03-02T21:42:26"/>
        <d v="2015-03-02T21:42:31"/>
        <d v="2015-03-02T21:42:43"/>
        <d v="2015-03-02T21:42:55"/>
        <d v="2015-03-02T21:42:57"/>
        <d v="2015-03-02T21:43:05"/>
        <d v="2015-03-02T21:43:13"/>
        <d v="2015-03-02T21:43:15"/>
        <d v="2015-03-02T21:43:17"/>
        <d v="2015-03-02T21:43:18"/>
        <d v="2015-03-02T21:43:21"/>
        <d v="2015-03-02T21:43:23"/>
        <d v="2015-03-02T21:43:26"/>
        <d v="2015-03-02T21:43:37"/>
        <d v="2015-03-02T21:43:41"/>
        <d v="2015-03-02T21:43:42"/>
        <d v="2015-03-02T21:43:44"/>
        <d v="2015-03-02T21:43:46"/>
        <d v="2015-03-02T21:43:47"/>
        <d v="2015-03-02T21:43:49"/>
        <d v="2015-03-02T21:43:50"/>
        <d v="2015-03-02T21:43:52"/>
        <d v="2015-03-02T21:44:00"/>
        <d v="2015-03-02T21:44:02"/>
        <d v="2015-03-02T21:44:06"/>
        <d v="2015-03-02T21:44:07"/>
        <d v="2015-03-02T21:44:09"/>
        <d v="2015-03-02T21:44:11"/>
        <d v="2015-03-02T21:44:13"/>
        <d v="2015-03-02T21:44:16"/>
        <d v="2015-03-02T21:44:19"/>
        <d v="2015-03-02T21:44:22"/>
        <d v="2015-03-02T21:44:30"/>
        <d v="2015-03-02T21:44:36"/>
        <d v="2015-03-02T21:44:38"/>
        <d v="2015-03-02T21:44:57"/>
        <d v="2015-03-02T21:44:59"/>
        <d v="2015-03-02T21:45:02"/>
        <d v="2015-03-02T21:45:21"/>
        <d v="2015-03-02T21:45:29"/>
        <d v="2009-10-05T12:15:32" u="1"/>
        <d v="2009-10-07T09:04:39" u="1"/>
        <d v="2009-10-07T00:36:55" u="1"/>
        <d v="2009-10-05T12:14:58" u="1"/>
      </sharedItems>
    </cacheField>
    <cacheField name="Log Time" numFmtId="176">
      <sharedItems containsSemiMixedTypes="0" containsNonDate="0" containsDate="1" containsString="0" minDate="2009-10-05T12:14:58" maxDate="2015-03-02T21:45:29" count="242">
        <d v="2015-03-02T20:48:40"/>
        <d v="2015-03-02T20:49:18"/>
        <d v="2015-03-02T20:49:19"/>
        <d v="2015-03-02T20:49:20"/>
        <d v="2015-03-02T20:49:21"/>
        <d v="2015-03-02T20:49:22"/>
        <d v="2015-03-02T20:49:35"/>
        <d v="2015-03-02T20:49:36"/>
        <d v="2015-03-02T20:49:37"/>
        <d v="2015-03-02T20:49:47"/>
        <d v="2015-03-02T20:49:49"/>
        <d v="2015-03-02T20:49:54"/>
        <d v="2015-03-02T20:49:55"/>
        <d v="2015-03-02T20:49:56"/>
        <d v="2015-03-02T20:49:57"/>
        <d v="2015-03-02T20:49:58"/>
        <d v="2015-03-02T20:49:59"/>
        <d v="2015-03-02T20:50:00"/>
        <d v="2015-03-02T20:50:01"/>
        <d v="2015-03-02T20:50:02"/>
        <d v="2015-03-02T20:50:03"/>
        <d v="2015-03-02T20:50:10"/>
        <d v="2015-03-02T20:50:11"/>
        <d v="2015-03-02T20:50:13"/>
        <d v="2015-03-02T20:50:24"/>
        <d v="2015-03-02T20:50:25"/>
        <d v="2015-03-02T20:50:26"/>
        <d v="2015-03-02T20:50:29"/>
        <d v="2015-03-02T20:50:30"/>
        <d v="2015-03-02T20:50:37"/>
        <d v="2015-03-02T20:50:38"/>
        <d v="2015-03-02T20:50:39"/>
        <d v="2015-03-02T20:50:42"/>
        <d v="2015-03-02T20:50:45"/>
        <d v="2015-03-02T20:50:52"/>
        <d v="2015-03-02T20:50:53"/>
        <d v="2015-03-02T20:50:56"/>
        <d v="2015-03-02T20:51:00"/>
        <d v="2015-03-02T20:51:02"/>
        <d v="2015-03-02T20:51:10"/>
        <d v="2015-03-02T20:51:19"/>
        <d v="2015-03-02T20:51:20"/>
        <d v="2015-03-02T20:51:22"/>
        <d v="2015-03-02T20:51:25"/>
        <d v="2015-03-02T20:51:33"/>
        <d v="2015-03-02T20:51:44"/>
        <d v="2015-03-02T20:51:50"/>
        <d v="2015-03-02T20:51:54"/>
        <d v="2015-03-02T20:52:10"/>
        <d v="2015-03-02T20:52:20"/>
        <d v="2015-03-02T20:52:27"/>
        <d v="2015-03-02T20:52:31"/>
        <d v="2015-03-02T20:52:34"/>
        <d v="2015-03-02T20:52:35"/>
        <d v="2015-03-02T20:52:40"/>
        <d v="2015-03-02T20:52:41"/>
        <d v="2015-03-02T20:52:50"/>
        <d v="2015-03-02T20:53:00"/>
        <d v="2015-03-02T20:53:04"/>
        <d v="2015-03-02T20:53:12"/>
        <d v="2015-03-02T20:53:20"/>
        <d v="2015-03-02T20:53:21"/>
        <d v="2015-03-02T20:53:25"/>
        <d v="2015-03-02T20:53:34"/>
        <d v="2015-03-02T20:53:35"/>
        <d v="2015-03-02T20:53:37"/>
        <d v="2015-03-02T20:53:45"/>
        <d v="2015-03-02T20:54:10"/>
        <d v="2015-03-02T20:54:11"/>
        <d v="2015-03-02T20:54:47"/>
        <d v="2015-03-02T20:54:48"/>
        <d v="2015-03-02T20:54:49"/>
        <d v="2015-03-02T20:54:51"/>
        <d v="2015-03-02T20:54:52"/>
        <d v="2015-03-02T20:54:55"/>
        <d v="2015-03-02T20:54:58"/>
        <d v="2015-03-02T20:55:01"/>
        <d v="2015-03-02T20:55:09"/>
        <d v="2015-03-02T20:55:32"/>
        <d v="2015-03-02T20:55:42"/>
        <d v="2015-03-02T20:55:47"/>
        <d v="2015-03-02T20:55:57"/>
        <d v="2015-03-02T20:56:08"/>
        <d v="2015-03-02T20:56:19"/>
        <d v="2015-03-02T20:56:30"/>
        <d v="2015-03-02T20:56:50"/>
        <d v="2015-03-02T20:56:53"/>
        <d v="2015-03-02T20:56:54"/>
        <d v="2015-03-02T20:57:08"/>
        <d v="2015-03-02T20:57:19"/>
        <d v="2015-03-02T20:57:26"/>
        <d v="2015-03-02T20:57:28"/>
        <d v="2015-03-02T20:57:55"/>
        <d v="2015-03-02T20:58:07"/>
        <d v="2015-03-02T20:58:09"/>
        <d v="2015-03-02T20:58:17"/>
        <d v="2015-03-02T20:58:22"/>
        <d v="2015-03-02T20:58:27"/>
        <d v="2015-03-02T20:58:29"/>
        <d v="2015-03-02T20:58:30"/>
        <d v="2015-03-02T20:58:32"/>
        <d v="2015-03-02T20:58:40"/>
        <d v="2015-03-02T20:59:22"/>
        <d v="2015-03-02T20:59:23"/>
        <d v="2015-03-02T20:59:24"/>
        <d v="2015-03-02T20:59:25"/>
        <d v="2015-03-02T20:59:35"/>
        <d v="2015-03-02T20:59:38"/>
        <d v="2015-03-02T20:59:39"/>
        <d v="2015-03-02T20:59:40"/>
        <d v="2015-03-02T20:59:41"/>
        <d v="2015-03-02T20:59:42"/>
        <d v="2015-03-02T20:59:48"/>
        <d v="2015-03-02T20:59:53"/>
        <d v="2015-03-02T20:59:54"/>
        <d v="2015-03-02T21:00:01"/>
        <d v="2015-03-02T21:00:02"/>
        <d v="2015-03-02T21:00:05"/>
        <d v="2015-03-02T21:00:06"/>
        <d v="2015-03-02T21:00:08"/>
        <d v="2015-03-02T21:00:09"/>
        <d v="2015-03-02T21:00:10"/>
        <d v="2015-03-02T21:00:12"/>
        <d v="2015-03-02T21:00:29"/>
        <d v="2015-03-02T21:00:30"/>
        <d v="2015-03-02T21:00:31"/>
        <d v="2015-03-02T21:00:32"/>
        <d v="2015-03-02T21:00:34"/>
        <d v="2015-03-02T21:00:36"/>
        <d v="2015-03-02T21:00:52"/>
        <d v="2015-03-02T21:00:53"/>
        <d v="2015-03-02T21:01:00"/>
        <d v="2015-03-02T21:01:01"/>
        <d v="2015-03-02T21:01:11"/>
        <d v="2015-03-02T21:01:30"/>
        <d v="2015-03-02T21:03:47"/>
        <d v="2015-03-02T21:07:32"/>
        <d v="2015-03-02T21:08:50"/>
        <d v="2015-03-02T21:32:00"/>
        <d v="2015-03-02T21:32:19"/>
        <d v="2015-03-02T21:32:21"/>
        <d v="2015-03-02T21:36:50"/>
        <d v="2015-03-02T21:36:52"/>
        <d v="2015-03-02T21:37:31"/>
        <d v="2015-03-02T21:38:14"/>
        <d v="2015-03-02T21:38:17"/>
        <d v="2015-03-02T21:38:18"/>
        <d v="2015-03-02T21:38:19"/>
        <d v="2015-03-02T21:38:20"/>
        <d v="2015-03-02T21:38:21"/>
        <d v="2015-03-02T21:38:22"/>
        <d v="2015-03-02T21:38:23"/>
        <d v="2015-03-02T21:38:24"/>
        <d v="2015-03-02T21:38:29"/>
        <d v="2015-03-02T21:38:31"/>
        <d v="2015-03-02T21:38:38"/>
        <d v="2015-03-02T21:38:39"/>
        <d v="2015-03-02T21:38:40"/>
        <d v="2015-03-02T21:38:41"/>
        <d v="2015-03-02T21:39:54"/>
        <d v="2015-03-02T21:39:55"/>
        <d v="2015-03-02T21:40:00"/>
        <d v="2015-03-02T21:40:02"/>
        <d v="2015-03-02T21:40:03"/>
        <d v="2015-03-02T21:40:04"/>
        <d v="2015-03-02T21:40:05"/>
        <d v="2015-03-02T21:40:06"/>
        <d v="2015-03-02T21:40:07"/>
        <d v="2015-03-02T21:40:08"/>
        <d v="2015-03-02T21:40:19"/>
        <d v="2015-03-02T21:40:21"/>
        <d v="2015-03-02T21:40:24"/>
        <d v="2015-03-02T21:40:26"/>
        <d v="2015-03-02T21:40:28"/>
        <d v="2015-03-02T21:40:32"/>
        <d v="2015-03-02T21:40:34"/>
        <d v="2015-03-02T21:40:41"/>
        <d v="2015-03-02T21:40:46"/>
        <d v="2015-03-02T21:40:51"/>
        <d v="2015-03-02T21:40:58"/>
        <d v="2015-03-02T21:41:01"/>
        <d v="2015-03-02T21:41:07"/>
        <d v="2015-03-02T21:41:10"/>
        <d v="2015-03-02T21:41:29"/>
        <d v="2015-03-02T21:41:33"/>
        <d v="2015-03-02T21:41:34"/>
        <d v="2015-03-02T21:41:38"/>
        <d v="2015-03-02T21:41:41"/>
        <d v="2015-03-02T21:41:50"/>
        <d v="2015-03-02T21:41:51"/>
        <d v="2015-03-02T21:41:52"/>
        <d v="2015-03-02T21:41:58"/>
        <d v="2015-03-02T21:42:06"/>
        <d v="2015-03-02T21:42:07"/>
        <d v="2015-03-02T21:42:08"/>
        <d v="2015-03-02T21:42:10"/>
        <d v="2015-03-02T21:42:12"/>
        <d v="2015-03-02T21:42:21"/>
        <d v="2015-03-02T21:42:26"/>
        <d v="2015-03-02T21:42:31"/>
        <d v="2015-03-02T21:42:43"/>
        <d v="2015-03-02T21:42:55"/>
        <d v="2015-03-02T21:42:57"/>
        <d v="2015-03-02T21:43:05"/>
        <d v="2015-03-02T21:43:13"/>
        <d v="2015-03-02T21:43:15"/>
        <d v="2015-03-02T21:43:17"/>
        <d v="2015-03-02T21:43:18"/>
        <d v="2015-03-02T21:43:21"/>
        <d v="2015-03-02T21:43:23"/>
        <d v="2015-03-02T21:43:26"/>
        <d v="2015-03-02T21:43:37"/>
        <d v="2015-03-02T21:43:41"/>
        <d v="2015-03-02T21:43:42"/>
        <d v="2015-03-02T21:43:44"/>
        <d v="2015-03-02T21:43:46"/>
        <d v="2015-03-02T21:43:47"/>
        <d v="2015-03-02T21:43:49"/>
        <d v="2015-03-02T21:43:50"/>
        <d v="2015-03-02T21:43:52"/>
        <d v="2015-03-02T21:44:00"/>
        <d v="2015-03-02T21:44:02"/>
        <d v="2015-03-02T21:44:06"/>
        <d v="2015-03-02T21:44:07"/>
        <d v="2015-03-02T21:44:09"/>
        <d v="2015-03-02T21:44:11"/>
        <d v="2015-03-02T21:44:13"/>
        <d v="2015-03-02T21:44:16"/>
        <d v="2015-03-02T21:44:19"/>
        <d v="2015-03-02T21:44:22"/>
        <d v="2015-03-02T21:44:30"/>
        <d v="2015-03-02T21:44:36"/>
        <d v="2015-03-02T21:44:38"/>
        <d v="2015-03-02T21:44:57"/>
        <d v="2015-03-02T21:44:59"/>
        <d v="2015-03-02T21:45:02"/>
        <d v="2015-03-02T21:45:21"/>
        <d v="2015-03-02T21:45:29"/>
        <d v="2009-10-05T12:15:32" u="1"/>
        <d v="2009-10-07T09:04:39" u="1"/>
        <d v="2009-10-07T00:36:55" u="1"/>
        <d v="2009-10-05T12:14:58" u="1"/>
      </sharedItems>
    </cacheField>
    <cacheField name="Record Type" numFmtId="0">
      <sharedItems count="4">
        <s v="EngineStatusRecord"/>
        <s v="EngineFaultRecord"/>
        <s v="DebugRecord"/>
        <s v="GpsRecord"/>
      </sharedItems>
    </cacheField>
    <cacheField name="Speed" numFmtId="0">
      <sharedItems containsSemiMixedTypes="0" containsString="0" containsNumber="1" containsInteger="1" minValue="0" maxValue="52" count="25">
        <n v="0"/>
        <n v="2"/>
        <n v="11"/>
        <n v="16"/>
        <n v="5"/>
        <n v="13"/>
        <n v="41"/>
        <n v="44"/>
        <n v="50"/>
        <n v="42"/>
        <n v="29"/>
        <n v="3"/>
        <n v="26"/>
        <n v="31"/>
        <n v="1"/>
        <n v="7"/>
        <n v="12"/>
        <n v="20"/>
        <n v="48"/>
        <n v="37"/>
        <n v="39"/>
        <n v="52"/>
        <n v="4"/>
        <n v="24"/>
        <n v="33"/>
      </sharedItems>
    </cacheField>
    <cacheField name="Longitude" numFmtId="0">
      <sharedItems containsSemiMixedTypes="0" containsString="0" containsNumber="1" minValue="-79.762069702148438" maxValue="139.41086999999999" count="64">
        <n v="0"/>
        <n v="139.40158"/>
        <n v="139.40163000000001"/>
        <n v="139.40152"/>
        <n v="139.40134"/>
        <n v="139.40117000000001"/>
        <n v="139.40102999999999"/>
        <n v="139.40101999999999"/>
        <n v="139.40167"/>
        <n v="139.40378000000001"/>
        <n v="139.40544"/>
        <n v="139.40582000000001"/>
        <n v="139.40718000000001"/>
        <n v="139.40839"/>
        <n v="139.40857"/>
        <n v="139.40873999999999"/>
        <n v="139.40929"/>
        <n v="139.40984"/>
        <n v="139.40987000000001"/>
        <n v="139.41046"/>
        <n v="139.41081"/>
        <n v="139.41084000000001"/>
        <n v="139.41086999999999"/>
        <n v="139.41079999999999"/>
        <n v="139.40944999999999"/>
        <n v="139.40672000000001"/>
        <n v="139.40540999999999"/>
        <n v="139.40483"/>
        <n v="139.40415999999999"/>
        <n v="139.40341000000001"/>
        <n v="139.40291999999999"/>
        <n v="139.40213"/>
        <n v="139.40091000000001"/>
        <n v="139.3997"/>
        <n v="139.39609999999999"/>
        <n v="139.39546000000001"/>
        <n v="139.39543"/>
        <n v="139.39505"/>
        <n v="139.39487"/>
        <n v="139.39483999999999"/>
        <n v="139.39482000000001"/>
        <n v="139.39479"/>
        <n v="139.39474999999999"/>
        <n v="139.39633000000001"/>
        <n v="139.39913999999999"/>
        <n v="139.40172999999999"/>
        <n v="139.4023"/>
        <n v="139.40231"/>
        <n v="139.40260000000001"/>
        <n v="139.40332000000001"/>
        <n v="139.40468999999999"/>
        <n v="139.40620000000001"/>
        <n v="139.40710000000001"/>
        <n v="139.40778"/>
        <n v="139.40714"/>
        <n v="139.40634"/>
        <n v="139.40619000000001"/>
        <n v="139.40514999999999"/>
        <n v="139.40468000000001"/>
        <n v="139.40385000000001"/>
        <n v="139.40325999999999"/>
        <n v="-79.762069702148438" u="1"/>
        <n v="-79.760818481445313" u="1"/>
        <n v="-79.717918395996094" u="1"/>
      </sharedItems>
    </cacheField>
    <cacheField name="Latitude" numFmtId="0">
      <sharedItems containsSemiMixedTypes="0" containsString="0" containsNumber="1" minValue="0" maxValue="43.408130645751953" count="66">
        <n v="0"/>
        <n v="35.568950000000001"/>
        <n v="35.569049999999997"/>
        <n v="35.56915"/>
        <n v="35.569279999999999"/>
        <n v="35.569479999999999"/>
        <n v="35.569609999999997"/>
        <n v="35.569690000000001"/>
        <n v="35.5702"/>
        <n v="35.571919999999999"/>
        <n v="35.573329999999999"/>
        <n v="35.573630000000001"/>
        <n v="35.574910000000003"/>
        <n v="35.575989999999997"/>
        <n v="35.576140000000002"/>
        <n v="35.57629"/>
        <n v="35.576810000000002"/>
        <n v="35.577289999999998"/>
        <n v="35.57732"/>
        <n v="35.577800000000003"/>
        <n v="35.578139999999998"/>
        <n v="35.578110000000002"/>
        <n v="35.578290000000003"/>
        <n v="35.578749999999999"/>
        <n v="35.580240000000003"/>
        <n v="35.580719999999999"/>
        <n v="35.580930000000002"/>
        <n v="35.58193"/>
        <n v="35.58305"/>
        <n v="35.583460000000002"/>
        <n v="35.583489999999998"/>
        <n v="35.5839"/>
        <n v="35.584330000000001"/>
        <n v="35.584719999999997"/>
        <n v="35.585590000000003"/>
        <n v="35.585720000000002"/>
        <n v="35.585740000000001"/>
        <n v="35.585819999999998"/>
        <n v="35.585839999999997"/>
        <n v="35.585900000000002"/>
        <n v="35.58587"/>
        <n v="35.585920000000002"/>
        <n v="35.585970000000003"/>
        <n v="35.58605"/>
        <n v="35.586069999999999"/>
        <n v="35.585610000000003"/>
        <n v="35.584919999999997"/>
        <n v="35.58408"/>
        <n v="35.583950000000002"/>
        <n v="35.583770000000001"/>
        <n v="35.583159999999999"/>
        <n v="35.581049999999998"/>
        <n v="35.580489999999998"/>
        <n v="35.580080000000002"/>
        <n v="35.579700000000003"/>
        <n v="35.57949"/>
        <n v="35.579059999999998"/>
        <n v="35.578519999999997"/>
        <n v="35.578420000000001"/>
        <n v="35.577829999999999"/>
        <n v="35.57752"/>
        <n v="35.577010000000001"/>
        <n v="35.576630000000002"/>
        <n v="43.408130645751953" u="1"/>
        <n v="43.3472900390625" u="1"/>
        <n v="43.349781036376953" u="1"/>
      </sharedItems>
    </cacheField>
    <cacheField name="Location" numFmtId="0">
      <sharedItems count="26">
        <s v=""/>
        <s v="日本, 〒252-0206 神奈川県相模原市中央区淵野辺５丁目６−５"/>
        <s v="日本, 〒252-0206 神奈川県相模原市中央区淵野辺５丁目７−１６"/>
        <s v="日本, 〒252-0206 神奈川県相模原市中央区淵野辺５丁目４−９"/>
        <s v="日本, 〒252-0206 神奈川県相模原市中央区淵野辺５丁目８−１"/>
        <s v="日本, 神奈川県相模原市中央区 県道57号線"/>
        <s v="日本, 〒252-0202 神奈川県相模原市中央区淵野辺本町２丁目 県道57号線"/>
        <s v="日本, 〒252-0202 神奈川県相模原市中央区淵野辺本町２丁目２０ 県道57号線"/>
        <s v="日本, 〒194-0034 東京都町田市根岸町 県道57号線"/>
        <s v="日本, 東京都町田市 県道57号線"/>
        <s v="日本, 東京都町田市 町田街道"/>
        <s v="日本, 〒194-0034 東京都町田市根岸町 町田街道"/>
        <s v="日本, 〒194-0214 東京都町田市矢部町 町田街道"/>
        <s v="日本, 〒194-0213 東京都町田市常盤町 町田街道"/>
        <s v="日本, 常盤（バス）（東京）"/>
        <s v="日本, 〒194-0034 東京都町田市根岸町１０１０−６"/>
        <s v="日本, 桜美林学園前（バス）（東京）"/>
        <s v="日本, 〒194-0034 東京都町田市根岸町１００８−１３"/>
        <s v="日本, 〒194-0034 東京都町田市根岸町１００８−１０"/>
        <s v="日本, 〒194-0214 東京都町田市矢部町１３−６"/>
        <s v="日本, 〒194-0214 東京都町田市矢部町１２−１"/>
        <s v="日本, 〒194-0214 東京都町田市矢部町７−４"/>
        <s v="日本, 〒194-0214 東京都町田市矢部町５−５"/>
        <s v="445 Sunset Dr, Oakville, ON, L6L" u="1"/>
        <s v="225 Walker's Line, Burlington, ON, L7N" u="1"/>
        <s v="Template Zone 1: 1081 S Service Rd, Oakville, ON" u="1"/>
      </sharedItems>
    </cacheField>
    <cacheField name="Location Zone Types" numFmtId="177">
      <sharedItems containsSemiMixedTypes="0" containsString="0" containsNumber="1" containsInteger="1" minValue="0" maxValue="0"/>
    </cacheField>
    <cacheField name="Log Reason" numFmtId="0">
      <sharedItems count="49">
        <s v=""/>
        <s v="InvalidDate"/>
        <s v="UnknownData"/>
        <s v="Next"/>
        <s v="GeoZoneDetected"/>
        <s v="EnginePidSupportDebug"/>
        <s v="InvalidGpsReason"/>
        <s v="MaxValue"/>
        <s v="CanBusStatusAtIgnitionOn"/>
        <s v="CurveZeroSpeed"/>
        <s v="DebugFuelSystemStatus"/>
        <s v="EngineDataSource"/>
        <s v="IntermittentConnectionTestAddressUsed"/>
        <s v="IntermittentConnectionTestProtocolCanObd"/>
        <s v="CurveBased"/>
        <s v="CurveSpeed"/>
        <s v="InvalidFuelConsumptionDetected"/>
        <s v="FuelPulseInvalid"/>
        <s v="CanReceiveErrorsDetected"/>
        <s v="CurveTimeOut"/>
        <s v="ReverseDetectionStarted"/>
        <s v="ConfirmReverseDetectStage1"/>
        <s v="ReverseNotConfirmedDueToZeroSpeed"/>
        <s v="ReverseNotConfirmedDueToForwardAcceleration"/>
        <s v="MultilineResponseTimeout"/>
        <s v="Ignition"/>
        <s v="DebugFuel"/>
        <s v="DebugGoDeviceDistance"/>
        <s v="CanBusStatusDuringTrip"/>
        <s v="RpmTimeout"/>
        <s v="CanBusStatusAtIgnitionOff"/>
        <s v="CanBusStatusBetweenTrips"/>
        <s v="SetServerIndex"/>
        <s v="ModemNetworkApn"/>
        <s v="ConnectedToServer"/>
        <s v="ModemConnectionSuccess"/>
        <s v="RpmBasedIgn"/>
        <s v="DebugInReverseHighSensitivity"/>
        <s v="OutOfReverseZeroSpeed"/>
        <s v="ReverseMovementConfirmed"/>
        <s v="DebugErrorRestartModem"/>
        <s v="ModemManagerRetryFail"/>
        <s v="ErrorRestartGsmcdmaStateMachine"/>
        <s v="ErrorRestartModemManagerStateMachine"/>
        <s v="DebugErrorRestartModemManager"/>
        <s v="DebugOdometerResponse"/>
        <s v="Speed" u="1"/>
        <s v="Heading" u="1"/>
        <s v="Time" u="1"/>
      </sharedItems>
    </cacheField>
    <cacheField name="Ignition" numFmtId="0">
      <sharedItems containsMixedTypes="1" containsNumber="1" containsInteger="1" minValue="0" maxValue="0" count="4">
        <n v="0"/>
        <b v="1"/>
        <b v="0"/>
        <s v="" u="1"/>
      </sharedItems>
    </cacheField>
    <cacheField name="Aux1" numFmtId="0">
      <sharedItems containsMixedTypes="1" containsNumber="1" containsInteger="1" minValue="0" maxValue="0"/>
    </cacheField>
    <cacheField name="Aux2" numFmtId="0">
      <sharedItems containsMixedTypes="1" containsNumber="1" containsInteger="1" minValue="0" maxValue="0"/>
    </cacheField>
    <cacheField name="Aux3" numFmtId="0">
      <sharedItems containsMixedTypes="1" containsNumber="1" containsInteger="1" minValue="0" maxValue="0"/>
    </cacheField>
    <cacheField name="Aux4" numFmtId="0">
      <sharedItems containsMixedTypes="1" containsNumber="1" containsInteger="1" minValue="0" maxValue="0"/>
    </cacheField>
    <cacheField name="Aux5" numFmtId="0">
      <sharedItems containsMixedTypes="1" containsNumber="1" containsInteger="1" minValue="0" maxValue="0"/>
    </cacheField>
    <cacheField name="Aux6" numFmtId="0">
      <sharedItems containsMixedTypes="1" containsNumber="1" containsInteger="1" minValue="0" maxValue="0"/>
    </cacheField>
    <cacheField name="Aux7" numFmtId="0">
      <sharedItems containsMixedTypes="1" containsNumber="1" containsInteger="1" minValue="0" maxValue="0"/>
    </cacheField>
    <cacheField name="Aux8" numFmtId="0">
      <sharedItems containsMixedTypes="1" containsNumber="1" containsInteger="1" minValue="0" maxValue="0"/>
    </cacheField>
    <cacheField name="Valid" numFmtId="0">
      <sharedItems containsMixedTypes="1" containsNumber="1" containsInteger="1" minValue="0" maxValue="0"/>
    </cacheField>
    <cacheField name="GPS Valid" numFmtId="0">
      <sharedItems containsMixedTypes="1" containsNumber="1" containsInteger="1" minValue="0" maxValue="0"/>
    </cacheField>
    <cacheField name="Processed" numFmtId="0">
      <sharedItems containsSemiMixedTypes="0" containsString="0" containsNumber="1" containsInteger="1" minValue="0" maxValue="0"/>
    </cacheField>
    <cacheField name="Debug Record" numFmtId="177">
      <sharedItems containsMixedTypes="1" containsNumber="1" containsInteger="1" minValue="0" maxValue="0"/>
    </cacheField>
    <cacheField name="Engine Diagnostic" numFmtId="0">
      <sharedItems containsMixedTypes="1" containsNumber="1" containsInteger="1" minValue="0" maxValue="0" count="27">
        <s v="Device power change (1=powered)"/>
        <s v="Telematics device fault: all power removed - device restarted"/>
        <n v="0"/>
        <s v="Cranking voltage"/>
        <s v="Ignition"/>
        <s v="Engine RPM"/>
        <s v="Engine coolant temperature"/>
        <s v="Telematics device voltage"/>
        <s v="Accelerometer calibrated (1=calibrated)"/>
        <s v="Total fuel used (since telematics device install)"/>
        <s v="Total fuel used while idling (since telematics device install)"/>
        <s v="Trip fuel used"/>
        <s v="Trip idle fuel used"/>
        <s v="Acceleration up down"/>
        <s v="Vehicle active (idle or driving)"/>
        <s v="Acceleration forward or braking"/>
        <s v="Acceleration side to side"/>
        <s v="Vehicle angle of inclination"/>
        <s v="OBD\CAN 11bit 500k engine protocol detected"/>
        <s v="Driver seatbelt (1=unbuckled)"/>
        <s v="Passenger occupancy (1=occupied)"/>
        <s v="Passenger seatbelt violation (1=unbuckled)"/>
        <s v="Gear position"/>
        <s v="Parking brake (1=on)"/>
        <s v="" u="1"/>
        <s v="J1939 Network #1, Primary Vehicle Network" u="1"/>
        <s v="GO Device Voltage" u="1"/>
      </sharedItems>
    </cacheField>
    <cacheField name="Controller" numFmtId="0">
      <sharedItems containsMixedTypes="1" containsNumber="1" containsInteger="1" minValue="0" maxValue="0" count="3">
        <s v=""/>
        <n v="0"/>
        <s v="Geotab GO Controller" u="1"/>
      </sharedItems>
    </cacheField>
    <cacheField name="Failure Mode" numFmtId="0">
      <sharedItems containsMixedTypes="1" containsNumber="1" containsInteger="1" minValue="0" maxValue="0" count="3">
        <n v="0"/>
        <s v=""/>
        <s v="Bad intelligent device or component" u="1"/>
      </sharedItems>
    </cacheField>
    <cacheField name="Engine Status" numFmtId="0">
      <sharedItems count="109">
        <s v="1 "/>
        <s v=" "/>
        <s v="14.2542 V"/>
        <s v="14.00374 V"/>
        <s v="13.93218 V"/>
        <s v="1600.25 RPM"/>
        <s v="1611.5 RPM"/>
        <s v="25 C"/>
        <s v="935.75 RPM"/>
        <s v="1427 RPM"/>
        <s v="29 C"/>
        <s v="885.75 RPM"/>
        <s v="1981.5 RPM"/>
        <s v="1124.75 RPM"/>
        <s v="854.75 RPM"/>
        <s v="2025.5 RPM"/>
        <s v="1231.5 RPM"/>
        <s v="14.2533331 V"/>
        <s v="13.7882233 V"/>
        <s v="1767.5 RPM"/>
        <s v="1010.25 RPM"/>
        <s v="14.146 V"/>
        <s v="1810 RPM"/>
        <s v="14.0744438 V"/>
        <s v="45 C"/>
        <s v="13.7166662 V"/>
        <s v="791.25 RPM"/>
        <s v="1909 RPM"/>
        <s v="1931.5 RPM"/>
        <s v="1146.75 RPM"/>
        <s v="14.0028887 V"/>
        <s v="781.75 RPM"/>
        <s v="1575.75 RPM"/>
        <s v="2101.25 RPM"/>
        <s v="1468 RPM"/>
        <s v="60 C"/>
        <s v="767.75 RPM"/>
        <s v="1670.75 RPM"/>
        <s v="1563.5 RPM"/>
        <s v="924.5 RPM"/>
        <s v="0 "/>
        <s v="13.3588886 V"/>
        <s v="0.34 L"/>
        <s v="0.08 L"/>
        <s v="9.35554409027099 m/s^2"/>
        <s v="0 m/s^2"/>
        <s v="0.261799435 rad"/>
        <s v="0 RPM"/>
        <s v="13.0368891 V"/>
        <s v="12.7506676 V"/>
        <s v="12.4644442 V"/>
        <s v="12.53676 V"/>
        <s v="12.1074 V"/>
        <s v="7.31288 V"/>
        <s v="9.13766 V"/>
        <s v="10.60464 V"/>
        <s v="10.92666 V"/>
        <s v="9.7085838317871 m/s^2"/>
        <s v="-1 "/>
        <s v="11.64226 V"/>
        <s v="1069.5 RPM"/>
        <s v="12.1066666 V"/>
        <s v="12.32208 V"/>
        <s v="12.85878 V"/>
        <s v="12.93034 V"/>
        <s v="12.21474 V"/>
        <s v="12.89456 V"/>
        <s v="13.2873335 V"/>
        <s v="48 C"/>
        <s v="13.6093321 V"/>
        <s v="779 RPM"/>
        <s v="1.94171702861785 m/s^2"/>
        <s v="9.53206253051757 m/s^2"/>
        <s v="-0.353039413690567 m/s^2"/>
        <s v="2051.75 RPM"/>
        <s v="1182.75 RPM"/>
        <s v="14.217555 V"/>
        <s v="13.2515554 V"/>
        <s v="59 C"/>
        <s v="12.8222218 V"/>
        <s v="1509 RPM"/>
        <s v="-1.94171702861785 m/s^2"/>
        <s v="1.05911803245544 m/s^2"/>
        <s v="13.3946667 V"/>
        <s v="748.25 RPM"/>
        <s v="13.9671116 V"/>
        <s v="782.25 RPM"/>
        <s v="1982.75 RPM"/>
        <s v="1414.25 RPM"/>
        <s v="-3.00083494186401 m/s^2"/>
        <s v="0.706078827381134 m/s^2"/>
        <s v="0.529559075832366 m/s^2"/>
        <s v="0.882598519325256 m/s^2"/>
        <s v="13.8597775 V"/>
        <s v="1447.25 RPM"/>
        <s v="-1.23563802242279 m/s^2"/>
        <s v="9.17902469635009 m/s^2"/>
        <s v="1741.5 RPM"/>
        <s v="1036 RPM"/>
        <s v="734.25 RPM"/>
        <s v="1820.75 RPM"/>
        <s v="1128.75 RPM"/>
        <s v="65 C"/>
        <s v="1081 RPM"/>
        <s v="1857 RPM"/>
        <s v="1248.75 RPM"/>
        <s v="13.573555 V"/>
        <s v="126 "/>
        <s v="12.75067 Volts" u="1"/>
      </sharedItems>
    </cacheField>
  </cacheFields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417">
  <r>
    <x v="0"/>
    <x v="0"/>
    <s v=""/>
    <x v="0"/>
    <x v="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0"/>
    <x v="0"/>
    <x v="0"/>
    <x v="0"/>
  </r>
  <r>
    <x v="0"/>
    <x v="0"/>
    <s v=""/>
    <x v="0"/>
    <x v="0"/>
    <x v="1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"/>
    <x v="0"/>
    <x v="1"/>
    <x v="1"/>
  </r>
  <r>
    <x v="0"/>
    <x v="0"/>
    <s v=""/>
    <x v="1"/>
    <x v="1"/>
    <x v="2"/>
    <x v="0"/>
    <x v="0"/>
    <x v="0"/>
    <x v="0"/>
    <n v="0"/>
    <x v="1"/>
    <x v="0"/>
    <n v="0"/>
    <n v="0"/>
    <n v="0"/>
    <n v="0"/>
    <n v="0"/>
    <n v="0"/>
    <n v="0"/>
    <n v="0"/>
    <n v="0"/>
    <n v="0"/>
    <n v="0"/>
    <s v="7000000000CC762203000000000000"/>
    <x v="2"/>
    <x v="1"/>
    <x v="0"/>
    <x v="1"/>
  </r>
  <r>
    <x v="0"/>
    <x v="0"/>
    <s v=""/>
    <x v="1"/>
    <x v="1"/>
    <x v="2"/>
    <x v="0"/>
    <x v="0"/>
    <x v="0"/>
    <x v="0"/>
    <n v="0"/>
    <x v="1"/>
    <x v="0"/>
    <n v="0"/>
    <n v="0"/>
    <n v="0"/>
    <n v="0"/>
    <n v="0"/>
    <n v="0"/>
    <n v="0"/>
    <n v="0"/>
    <n v="0"/>
    <n v="0"/>
    <n v="0"/>
    <s v="2300000000D0560101000000000000"/>
    <x v="2"/>
    <x v="1"/>
    <x v="0"/>
    <x v="1"/>
  </r>
  <r>
    <x v="0"/>
    <x v="0"/>
    <s v=""/>
    <x v="1"/>
    <x v="1"/>
    <x v="2"/>
    <x v="0"/>
    <x v="0"/>
    <x v="0"/>
    <x v="0"/>
    <n v="0"/>
    <x v="1"/>
    <x v="0"/>
    <n v="0"/>
    <n v="0"/>
    <n v="0"/>
    <n v="0"/>
    <n v="0"/>
    <n v="0"/>
    <n v="0"/>
    <n v="0"/>
    <n v="0"/>
    <n v="0"/>
    <n v="0"/>
    <s v="6F000000000087C300000000000000"/>
    <x v="2"/>
    <x v="1"/>
    <x v="0"/>
    <x v="1"/>
  </r>
  <r>
    <x v="0"/>
    <x v="0"/>
    <s v=""/>
    <x v="1"/>
    <x v="1"/>
    <x v="2"/>
    <x v="0"/>
    <x v="0"/>
    <x v="0"/>
    <x v="0"/>
    <n v="0"/>
    <x v="1"/>
    <x v="0"/>
    <n v="0"/>
    <n v="0"/>
    <n v="0"/>
    <n v="0"/>
    <n v="0"/>
    <n v="0"/>
    <n v="0"/>
    <n v="0"/>
    <n v="0"/>
    <n v="0"/>
    <n v="0"/>
    <s v="6F000000000033EB004E004E000000"/>
    <x v="2"/>
    <x v="1"/>
    <x v="0"/>
    <x v="1"/>
  </r>
  <r>
    <x v="0"/>
    <x v="0"/>
    <s v=""/>
    <x v="2"/>
    <x v="2"/>
    <x v="2"/>
    <x v="0"/>
    <x v="0"/>
    <x v="0"/>
    <x v="0"/>
    <n v="0"/>
    <x v="1"/>
    <x v="0"/>
    <n v="0"/>
    <n v="0"/>
    <n v="0"/>
    <n v="0"/>
    <n v="0"/>
    <n v="0"/>
    <n v="0"/>
    <n v="0"/>
    <n v="0"/>
    <n v="0"/>
    <n v="0"/>
    <s v="6F0D0000000549EBDF0703020B3003"/>
    <x v="2"/>
    <x v="1"/>
    <x v="0"/>
    <x v="1"/>
  </r>
  <r>
    <x v="0"/>
    <x v="0"/>
    <s v=""/>
    <x v="2"/>
    <x v="2"/>
    <x v="2"/>
    <x v="0"/>
    <x v="0"/>
    <x v="0"/>
    <x v="0"/>
    <n v="0"/>
    <x v="1"/>
    <x v="0"/>
    <n v="0"/>
    <n v="0"/>
    <n v="0"/>
    <n v="0"/>
    <n v="0"/>
    <n v="0"/>
    <n v="0"/>
    <n v="0"/>
    <n v="0"/>
    <n v="0"/>
    <n v="0"/>
    <s v="230A000000B3530100000000000000"/>
    <x v="2"/>
    <x v="1"/>
    <x v="0"/>
    <x v="1"/>
  </r>
  <r>
    <x v="0"/>
    <x v="0"/>
    <s v=""/>
    <x v="2"/>
    <x v="2"/>
    <x v="2"/>
    <x v="0"/>
    <x v="0"/>
    <x v="0"/>
    <x v="0"/>
    <n v="0"/>
    <x v="2"/>
    <x v="0"/>
    <n v="0"/>
    <n v="0"/>
    <n v="0"/>
    <n v="0"/>
    <n v="0"/>
    <n v="0"/>
    <n v="0"/>
    <n v="0"/>
    <n v="0"/>
    <n v="0"/>
    <n v="0"/>
    <s v="12012114002097AF07FFFFFFFF0000"/>
    <x v="2"/>
    <x v="1"/>
    <x v="0"/>
    <x v="1"/>
  </r>
  <r>
    <x v="0"/>
    <x v="0"/>
    <s v=""/>
    <x v="2"/>
    <x v="2"/>
    <x v="2"/>
    <x v="0"/>
    <x v="0"/>
    <x v="0"/>
    <x v="0"/>
    <n v="0"/>
    <x v="1"/>
    <x v="0"/>
    <n v="0"/>
    <n v="0"/>
    <n v="0"/>
    <n v="0"/>
    <n v="0"/>
    <n v="0"/>
    <n v="0"/>
    <n v="0"/>
    <n v="0"/>
    <n v="0"/>
    <n v="0"/>
    <s v="700A00000003970000000000000000"/>
    <x v="2"/>
    <x v="1"/>
    <x v="0"/>
    <x v="1"/>
  </r>
  <r>
    <x v="0"/>
    <x v="0"/>
    <s v=""/>
    <x v="2"/>
    <x v="2"/>
    <x v="2"/>
    <x v="0"/>
    <x v="0"/>
    <x v="0"/>
    <x v="0"/>
    <n v="0"/>
    <x v="1"/>
    <x v="0"/>
    <n v="0"/>
    <n v="0"/>
    <n v="0"/>
    <n v="0"/>
    <n v="0"/>
    <n v="0"/>
    <n v="0"/>
    <n v="0"/>
    <n v="0"/>
    <n v="0"/>
    <n v="0"/>
    <s v="70060000005B150000000000000000"/>
    <x v="2"/>
    <x v="1"/>
    <x v="0"/>
    <x v="1"/>
  </r>
  <r>
    <x v="0"/>
    <x v="0"/>
    <s v=""/>
    <x v="2"/>
    <x v="2"/>
    <x v="2"/>
    <x v="0"/>
    <x v="0"/>
    <x v="0"/>
    <x v="0"/>
    <n v="0"/>
    <x v="1"/>
    <x v="0"/>
    <n v="0"/>
    <n v="0"/>
    <n v="0"/>
    <n v="0"/>
    <n v="0"/>
    <n v="0"/>
    <n v="0"/>
    <n v="0"/>
    <n v="0"/>
    <n v="0"/>
    <n v="0"/>
    <s v="700300000000540300000000000000"/>
    <x v="2"/>
    <x v="1"/>
    <x v="0"/>
    <x v="1"/>
  </r>
  <r>
    <x v="0"/>
    <x v="0"/>
    <s v=""/>
    <x v="2"/>
    <x v="2"/>
    <x v="2"/>
    <x v="0"/>
    <x v="0"/>
    <x v="0"/>
    <x v="0"/>
    <n v="0"/>
    <x v="1"/>
    <x v="0"/>
    <n v="0"/>
    <n v="0"/>
    <n v="0"/>
    <n v="0"/>
    <n v="0"/>
    <n v="0"/>
    <n v="0"/>
    <n v="0"/>
    <n v="0"/>
    <n v="0"/>
    <n v="0"/>
    <s v="2D02000000001F0001010000000000"/>
    <x v="2"/>
    <x v="1"/>
    <x v="0"/>
    <x v="1"/>
  </r>
  <r>
    <x v="0"/>
    <x v="0"/>
    <s v=""/>
    <x v="2"/>
    <x v="2"/>
    <x v="2"/>
    <x v="0"/>
    <x v="0"/>
    <x v="0"/>
    <x v="0"/>
    <n v="0"/>
    <x v="2"/>
    <x v="0"/>
    <n v="0"/>
    <n v="0"/>
    <n v="0"/>
    <n v="0"/>
    <n v="0"/>
    <n v="0"/>
    <n v="0"/>
    <n v="0"/>
    <n v="0"/>
    <n v="0"/>
    <n v="0"/>
    <s v="130000DF0703020B30350300000000"/>
    <x v="2"/>
    <x v="1"/>
    <x v="0"/>
    <x v="1"/>
  </r>
  <r>
    <x v="0"/>
    <x v="0"/>
    <s v=""/>
    <x v="2"/>
    <x v="2"/>
    <x v="2"/>
    <x v="0"/>
    <x v="0"/>
    <x v="0"/>
    <x v="0"/>
    <n v="0"/>
    <x v="1"/>
    <x v="0"/>
    <n v="0"/>
    <n v="0"/>
    <n v="0"/>
    <n v="0"/>
    <n v="0"/>
    <n v="0"/>
    <n v="0"/>
    <n v="0"/>
    <n v="0"/>
    <n v="0"/>
    <n v="0"/>
    <s v="6F0D0000000585C3FD75FD75000000"/>
    <x v="2"/>
    <x v="1"/>
    <x v="0"/>
    <x v="1"/>
  </r>
  <r>
    <x v="0"/>
    <x v="0"/>
    <s v=""/>
    <x v="2"/>
    <x v="2"/>
    <x v="2"/>
    <x v="0"/>
    <x v="0"/>
    <x v="0"/>
    <x v="0"/>
    <n v="0"/>
    <x v="1"/>
    <x v="0"/>
    <n v="0"/>
    <n v="0"/>
    <n v="0"/>
    <n v="0"/>
    <n v="0"/>
    <n v="0"/>
    <n v="0"/>
    <n v="0"/>
    <n v="0"/>
    <n v="0"/>
    <n v="0"/>
    <s v="700C00000085350100010024001000"/>
    <x v="2"/>
    <x v="1"/>
    <x v="0"/>
    <x v="1"/>
  </r>
  <r>
    <x v="0"/>
    <x v="0"/>
    <s v=""/>
    <x v="2"/>
    <x v="2"/>
    <x v="2"/>
    <x v="0"/>
    <x v="0"/>
    <x v="0"/>
    <x v="0"/>
    <n v="0"/>
    <x v="1"/>
    <x v="0"/>
    <n v="0"/>
    <n v="0"/>
    <n v="0"/>
    <n v="0"/>
    <n v="0"/>
    <n v="0"/>
    <n v="0"/>
    <n v="0"/>
    <n v="0"/>
    <n v="0"/>
    <n v="0"/>
    <s v="700A00000006540F00000000000000"/>
    <x v="2"/>
    <x v="1"/>
    <x v="0"/>
    <x v="1"/>
  </r>
  <r>
    <x v="0"/>
    <x v="0"/>
    <s v=""/>
    <x v="2"/>
    <x v="2"/>
    <x v="2"/>
    <x v="0"/>
    <x v="0"/>
    <x v="0"/>
    <x v="0"/>
    <n v="0"/>
    <x v="1"/>
    <x v="0"/>
    <n v="0"/>
    <n v="0"/>
    <n v="0"/>
    <n v="0"/>
    <n v="0"/>
    <n v="0"/>
    <n v="0"/>
    <n v="0"/>
    <n v="0"/>
    <n v="0"/>
    <n v="0"/>
    <s v="700C0000007D32540000001A17C018"/>
    <x v="2"/>
    <x v="1"/>
    <x v="0"/>
    <x v="1"/>
  </r>
  <r>
    <x v="0"/>
    <x v="0"/>
    <s v=""/>
    <x v="3"/>
    <x v="3"/>
    <x v="2"/>
    <x v="0"/>
    <x v="0"/>
    <x v="0"/>
    <x v="0"/>
    <n v="0"/>
    <x v="2"/>
    <x v="0"/>
    <n v="0"/>
    <n v="0"/>
    <n v="0"/>
    <n v="0"/>
    <n v="0"/>
    <n v="0"/>
    <n v="0"/>
    <n v="0"/>
    <n v="0"/>
    <n v="0"/>
    <n v="0"/>
    <s v="1241542B555245473F0D0000000000"/>
    <x v="2"/>
    <x v="1"/>
    <x v="0"/>
    <x v="1"/>
  </r>
  <r>
    <x v="0"/>
    <x v="0"/>
    <s v=""/>
    <x v="3"/>
    <x v="3"/>
    <x v="2"/>
    <x v="0"/>
    <x v="0"/>
    <x v="0"/>
    <x v="0"/>
    <n v="0"/>
    <x v="1"/>
    <x v="0"/>
    <n v="0"/>
    <n v="0"/>
    <n v="0"/>
    <n v="0"/>
    <n v="0"/>
    <n v="0"/>
    <n v="0"/>
    <n v="0"/>
    <n v="0"/>
    <n v="0"/>
    <n v="0"/>
    <s v="701E000000308F0000000000000000"/>
    <x v="2"/>
    <x v="1"/>
    <x v="0"/>
    <x v="1"/>
  </r>
  <r>
    <x v="0"/>
    <x v="0"/>
    <s v=""/>
    <x v="3"/>
    <x v="3"/>
    <x v="2"/>
    <x v="0"/>
    <x v="0"/>
    <x v="0"/>
    <x v="0"/>
    <n v="0"/>
    <x v="1"/>
    <x v="0"/>
    <n v="0"/>
    <n v="0"/>
    <n v="0"/>
    <n v="0"/>
    <n v="0"/>
    <n v="0"/>
    <n v="0"/>
    <n v="0"/>
    <n v="0"/>
    <n v="0"/>
    <n v="0"/>
    <s v="701D000000B88C696E7465726E6500"/>
    <x v="2"/>
    <x v="1"/>
    <x v="0"/>
    <x v="1"/>
  </r>
  <r>
    <x v="0"/>
    <x v="0"/>
    <s v=""/>
    <x v="3"/>
    <x v="3"/>
    <x v="2"/>
    <x v="0"/>
    <x v="0"/>
    <x v="0"/>
    <x v="0"/>
    <n v="0"/>
    <x v="1"/>
    <x v="0"/>
    <n v="0"/>
    <n v="0"/>
    <n v="0"/>
    <n v="0"/>
    <n v="0"/>
    <n v="0"/>
    <n v="0"/>
    <n v="0"/>
    <n v="0"/>
    <n v="0"/>
    <n v="0"/>
    <s v="6F1D000000B85CC3696E7465726E65"/>
    <x v="2"/>
    <x v="1"/>
    <x v="0"/>
    <x v="1"/>
  </r>
  <r>
    <x v="0"/>
    <x v="0"/>
    <s v=""/>
    <x v="3"/>
    <x v="3"/>
    <x v="2"/>
    <x v="0"/>
    <x v="0"/>
    <x v="0"/>
    <x v="0"/>
    <n v="0"/>
    <x v="1"/>
    <x v="0"/>
    <n v="0"/>
    <n v="0"/>
    <n v="0"/>
    <n v="0"/>
    <n v="0"/>
    <n v="0"/>
    <n v="0"/>
    <n v="0"/>
    <n v="0"/>
    <n v="0"/>
    <n v="0"/>
    <s v="701A00000020920000000000000000"/>
    <x v="2"/>
    <x v="1"/>
    <x v="0"/>
    <x v="1"/>
  </r>
  <r>
    <x v="0"/>
    <x v="0"/>
    <s v=""/>
    <x v="3"/>
    <x v="3"/>
    <x v="2"/>
    <x v="0"/>
    <x v="0"/>
    <x v="0"/>
    <x v="0"/>
    <n v="0"/>
    <x v="1"/>
    <x v="0"/>
    <n v="0"/>
    <n v="0"/>
    <n v="0"/>
    <n v="0"/>
    <n v="0"/>
    <n v="0"/>
    <n v="0"/>
    <n v="0"/>
    <n v="0"/>
    <n v="0"/>
    <n v="0"/>
    <s v="701A0000001E890E00000000000000"/>
    <x v="2"/>
    <x v="1"/>
    <x v="0"/>
    <x v="1"/>
  </r>
  <r>
    <x v="0"/>
    <x v="0"/>
    <s v=""/>
    <x v="3"/>
    <x v="3"/>
    <x v="2"/>
    <x v="0"/>
    <x v="0"/>
    <x v="0"/>
    <x v="0"/>
    <n v="0"/>
    <x v="1"/>
    <x v="0"/>
    <n v="0"/>
    <n v="0"/>
    <n v="0"/>
    <n v="0"/>
    <n v="0"/>
    <n v="0"/>
    <n v="0"/>
    <n v="0"/>
    <n v="0"/>
    <n v="0"/>
    <n v="0"/>
    <s v="701C00000005150000000000000000"/>
    <x v="2"/>
    <x v="1"/>
    <x v="0"/>
    <x v="1"/>
  </r>
  <r>
    <x v="0"/>
    <x v="0"/>
    <s v=""/>
    <x v="3"/>
    <x v="3"/>
    <x v="2"/>
    <x v="0"/>
    <x v="0"/>
    <x v="0"/>
    <x v="0"/>
    <n v="0"/>
    <x v="2"/>
    <x v="0"/>
    <n v="0"/>
    <n v="0"/>
    <n v="0"/>
    <n v="0"/>
    <n v="0"/>
    <n v="0"/>
    <n v="0"/>
    <n v="0"/>
    <n v="0"/>
    <n v="0"/>
    <n v="0"/>
    <s v="132B555245473A20302C3400300030"/>
    <x v="2"/>
    <x v="1"/>
    <x v="0"/>
    <x v="1"/>
  </r>
  <r>
    <x v="0"/>
    <x v="0"/>
    <s v=""/>
    <x v="3"/>
    <x v="3"/>
    <x v="2"/>
    <x v="0"/>
    <x v="0"/>
    <x v="0"/>
    <x v="0"/>
    <n v="0"/>
    <x v="1"/>
    <x v="0"/>
    <n v="0"/>
    <n v="0"/>
    <n v="0"/>
    <n v="0"/>
    <n v="0"/>
    <n v="0"/>
    <n v="0"/>
    <n v="0"/>
    <n v="0"/>
    <n v="0"/>
    <n v="0"/>
    <s v="701500000008150000000000000000"/>
    <x v="2"/>
    <x v="1"/>
    <x v="0"/>
    <x v="1"/>
  </r>
  <r>
    <x v="0"/>
    <x v="0"/>
    <s v=""/>
    <x v="3"/>
    <x v="3"/>
    <x v="2"/>
    <x v="0"/>
    <x v="0"/>
    <x v="0"/>
    <x v="0"/>
    <n v="0"/>
    <x v="1"/>
    <x v="0"/>
    <n v="0"/>
    <n v="0"/>
    <n v="0"/>
    <n v="0"/>
    <n v="0"/>
    <n v="0"/>
    <n v="0"/>
    <n v="0"/>
    <n v="0"/>
    <n v="0"/>
    <n v="0"/>
    <s v="70130000003032540000001A17C018"/>
    <x v="2"/>
    <x v="1"/>
    <x v="0"/>
    <x v="1"/>
  </r>
  <r>
    <x v="0"/>
    <x v="0"/>
    <s v=""/>
    <x v="3"/>
    <x v="3"/>
    <x v="2"/>
    <x v="0"/>
    <x v="0"/>
    <x v="0"/>
    <x v="0"/>
    <n v="0"/>
    <x v="1"/>
    <x v="0"/>
    <n v="0"/>
    <n v="0"/>
    <n v="0"/>
    <n v="0"/>
    <n v="0"/>
    <n v="0"/>
    <n v="0"/>
    <n v="0"/>
    <n v="0"/>
    <n v="0"/>
    <n v="0"/>
    <s v="700E0000000B150000000000000000"/>
    <x v="2"/>
    <x v="1"/>
    <x v="0"/>
    <x v="1"/>
  </r>
  <r>
    <x v="0"/>
    <x v="0"/>
    <s v=""/>
    <x v="3"/>
    <x v="3"/>
    <x v="2"/>
    <x v="0"/>
    <x v="0"/>
    <x v="0"/>
    <x v="0"/>
    <n v="0"/>
    <x v="2"/>
    <x v="0"/>
    <n v="0"/>
    <n v="0"/>
    <n v="0"/>
    <n v="0"/>
    <n v="0"/>
    <n v="0"/>
    <n v="0"/>
    <n v="0"/>
    <n v="0"/>
    <n v="0"/>
    <n v="0"/>
    <s v="13882B4353513A2031342C34003000"/>
    <x v="2"/>
    <x v="1"/>
    <x v="0"/>
    <x v="1"/>
  </r>
  <r>
    <x v="0"/>
    <x v="0"/>
    <s v=""/>
    <x v="4"/>
    <x v="4"/>
    <x v="2"/>
    <x v="0"/>
    <x v="0"/>
    <x v="0"/>
    <x v="0"/>
    <n v="0"/>
    <x v="1"/>
    <x v="0"/>
    <n v="0"/>
    <n v="0"/>
    <n v="0"/>
    <n v="0"/>
    <n v="0"/>
    <n v="0"/>
    <n v="0"/>
    <n v="0"/>
    <n v="0"/>
    <n v="0"/>
    <n v="0"/>
    <s v="701F00000083510000000000000000"/>
    <x v="2"/>
    <x v="1"/>
    <x v="0"/>
    <x v="1"/>
  </r>
  <r>
    <x v="0"/>
    <x v="0"/>
    <s v=""/>
    <x v="4"/>
    <x v="4"/>
    <x v="2"/>
    <x v="0"/>
    <x v="0"/>
    <x v="0"/>
    <x v="0"/>
    <n v="0"/>
    <x v="1"/>
    <x v="0"/>
    <n v="0"/>
    <n v="0"/>
    <n v="0"/>
    <n v="0"/>
    <n v="0"/>
    <n v="0"/>
    <n v="0"/>
    <n v="0"/>
    <n v="0"/>
    <n v="0"/>
    <n v="0"/>
    <s v="701E000000C1810000000000000000"/>
    <x v="2"/>
    <x v="1"/>
    <x v="0"/>
    <x v="1"/>
  </r>
  <r>
    <x v="0"/>
    <x v="0"/>
    <s v=""/>
    <x v="4"/>
    <x v="4"/>
    <x v="2"/>
    <x v="0"/>
    <x v="0"/>
    <x v="0"/>
    <x v="0"/>
    <n v="0"/>
    <x v="1"/>
    <x v="0"/>
    <n v="0"/>
    <n v="0"/>
    <n v="0"/>
    <n v="0"/>
    <n v="0"/>
    <n v="0"/>
    <n v="0"/>
    <n v="0"/>
    <n v="0"/>
    <n v="0"/>
    <n v="0"/>
    <s v="6F1F0000007D5DC34E545420444F80"/>
    <x v="2"/>
    <x v="1"/>
    <x v="0"/>
    <x v="1"/>
  </r>
  <r>
    <x v="0"/>
    <x v="0"/>
    <s v=""/>
    <x v="4"/>
    <x v="4"/>
    <x v="2"/>
    <x v="0"/>
    <x v="0"/>
    <x v="0"/>
    <x v="0"/>
    <n v="0"/>
    <x v="1"/>
    <x v="0"/>
    <n v="0"/>
    <n v="0"/>
    <n v="0"/>
    <n v="0"/>
    <n v="0"/>
    <n v="0"/>
    <n v="0"/>
    <n v="0"/>
    <n v="0"/>
    <n v="0"/>
    <n v="0"/>
    <s v="201F00000057331568155301001900"/>
    <x v="2"/>
    <x v="1"/>
    <x v="0"/>
    <x v="1"/>
  </r>
  <r>
    <x v="0"/>
    <x v="0"/>
    <s v=""/>
    <x v="4"/>
    <x v="4"/>
    <x v="2"/>
    <x v="0"/>
    <x v="0"/>
    <x v="0"/>
    <x v="0"/>
    <n v="0"/>
    <x v="1"/>
    <x v="0"/>
    <n v="0"/>
    <n v="0"/>
    <n v="0"/>
    <n v="0"/>
    <n v="0"/>
    <n v="0"/>
    <n v="0"/>
    <n v="0"/>
    <n v="0"/>
    <n v="0"/>
    <n v="0"/>
    <s v="6F1F0000007D63C308000000000000"/>
    <x v="2"/>
    <x v="1"/>
    <x v="0"/>
    <x v="1"/>
  </r>
  <r>
    <x v="0"/>
    <x v="0"/>
    <s v=""/>
    <x v="4"/>
    <x v="4"/>
    <x v="2"/>
    <x v="0"/>
    <x v="0"/>
    <x v="0"/>
    <x v="0"/>
    <n v="0"/>
    <x v="1"/>
    <x v="0"/>
    <n v="0"/>
    <n v="0"/>
    <n v="0"/>
    <n v="0"/>
    <n v="0"/>
    <n v="0"/>
    <n v="0"/>
    <n v="0"/>
    <n v="0"/>
    <n v="0"/>
    <n v="0"/>
    <s v="702000000046780000000000000000"/>
    <x v="2"/>
    <x v="1"/>
    <x v="0"/>
    <x v="1"/>
  </r>
  <r>
    <x v="0"/>
    <x v="0"/>
    <s v=""/>
    <x v="4"/>
    <x v="4"/>
    <x v="2"/>
    <x v="0"/>
    <x v="0"/>
    <x v="0"/>
    <x v="0"/>
    <n v="0"/>
    <x v="1"/>
    <x v="0"/>
    <n v="0"/>
    <n v="0"/>
    <n v="0"/>
    <n v="0"/>
    <n v="0"/>
    <n v="0"/>
    <n v="0"/>
    <n v="0"/>
    <n v="0"/>
    <n v="0"/>
    <n v="0"/>
    <s v="702300000002150000000000000000"/>
    <x v="2"/>
    <x v="1"/>
    <x v="0"/>
    <x v="1"/>
  </r>
  <r>
    <x v="0"/>
    <x v="0"/>
    <s v=""/>
    <x v="5"/>
    <x v="5"/>
    <x v="2"/>
    <x v="0"/>
    <x v="0"/>
    <x v="0"/>
    <x v="0"/>
    <n v="0"/>
    <x v="1"/>
    <x v="0"/>
    <n v="0"/>
    <n v="0"/>
    <n v="0"/>
    <n v="0"/>
    <n v="0"/>
    <n v="0"/>
    <n v="0"/>
    <n v="0"/>
    <n v="0"/>
    <n v="0"/>
    <n v="0"/>
    <s v="7029000000FF150000000000000000"/>
    <x v="2"/>
    <x v="1"/>
    <x v="0"/>
    <x v="1"/>
  </r>
  <r>
    <x v="0"/>
    <x v="0"/>
    <s v=""/>
    <x v="6"/>
    <x v="6"/>
    <x v="2"/>
    <x v="0"/>
    <x v="0"/>
    <x v="0"/>
    <x v="0"/>
    <n v="0"/>
    <x v="1"/>
    <x v="0"/>
    <n v="0"/>
    <n v="0"/>
    <n v="0"/>
    <n v="0"/>
    <n v="0"/>
    <n v="0"/>
    <n v="0"/>
    <n v="0"/>
    <n v="0"/>
    <n v="0"/>
    <n v="0"/>
    <s v="7037000000990A4601E40000000000"/>
    <x v="2"/>
    <x v="1"/>
    <x v="0"/>
    <x v="1"/>
  </r>
  <r>
    <x v="0"/>
    <x v="0"/>
    <s v=""/>
    <x v="6"/>
    <x v="6"/>
    <x v="2"/>
    <x v="0"/>
    <x v="0"/>
    <x v="0"/>
    <x v="0"/>
    <n v="0"/>
    <x v="1"/>
    <x v="0"/>
    <n v="0"/>
    <n v="0"/>
    <n v="0"/>
    <n v="0"/>
    <n v="0"/>
    <n v="0"/>
    <n v="0"/>
    <n v="0"/>
    <n v="0"/>
    <n v="0"/>
    <n v="0"/>
    <s v="6F37000000B363C308000000000000"/>
    <x v="2"/>
    <x v="1"/>
    <x v="0"/>
    <x v="1"/>
  </r>
  <r>
    <x v="0"/>
    <x v="0"/>
    <s v=""/>
    <x v="7"/>
    <x v="7"/>
    <x v="2"/>
    <x v="0"/>
    <x v="0"/>
    <x v="0"/>
    <x v="0"/>
    <n v="0"/>
    <x v="1"/>
    <x v="0"/>
    <n v="0"/>
    <n v="0"/>
    <n v="0"/>
    <n v="0"/>
    <n v="0"/>
    <n v="0"/>
    <n v="0"/>
    <n v="0"/>
    <n v="0"/>
    <n v="0"/>
    <n v="0"/>
    <s v="7037000000CC0AF3000E0100000000"/>
    <x v="2"/>
    <x v="1"/>
    <x v="0"/>
    <x v="1"/>
  </r>
  <r>
    <x v="0"/>
    <x v="0"/>
    <s v=""/>
    <x v="8"/>
    <x v="8"/>
    <x v="2"/>
    <x v="0"/>
    <x v="0"/>
    <x v="0"/>
    <x v="0"/>
    <n v="0"/>
    <x v="1"/>
    <x v="0"/>
    <n v="0"/>
    <n v="0"/>
    <n v="0"/>
    <n v="0"/>
    <n v="0"/>
    <n v="0"/>
    <n v="0"/>
    <n v="0"/>
    <n v="0"/>
    <n v="0"/>
    <n v="0"/>
    <s v="7038000000CF0A25013C0100000000"/>
    <x v="2"/>
    <x v="1"/>
    <x v="0"/>
    <x v="1"/>
  </r>
  <r>
    <x v="0"/>
    <x v="0"/>
    <s v=""/>
    <x v="9"/>
    <x v="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"/>
    <x v="0"/>
    <x v="0"/>
    <x v="2"/>
  </r>
  <r>
    <x v="0"/>
    <x v="0"/>
    <s v=""/>
    <x v="9"/>
    <x v="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"/>
    <x v="0"/>
    <x v="0"/>
    <x v="3"/>
  </r>
  <r>
    <x v="0"/>
    <x v="0"/>
    <s v=""/>
    <x v="10"/>
    <x v="1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"/>
    <x v="0"/>
    <x v="0"/>
    <x v="4"/>
  </r>
  <r>
    <x v="0"/>
    <x v="0"/>
    <s v=""/>
    <x v="11"/>
    <x v="11"/>
    <x v="2"/>
    <x v="0"/>
    <x v="0"/>
    <x v="0"/>
    <x v="0"/>
    <n v="0"/>
    <x v="1"/>
    <x v="0"/>
    <n v="0"/>
    <n v="0"/>
    <n v="0"/>
    <n v="0"/>
    <n v="0"/>
    <n v="0"/>
    <n v="0"/>
    <n v="0"/>
    <n v="0"/>
    <n v="0"/>
    <n v="0"/>
    <s v="6F490000000663C308000000000000"/>
    <x v="2"/>
    <x v="1"/>
    <x v="0"/>
    <x v="1"/>
  </r>
  <r>
    <x v="0"/>
    <x v="0"/>
    <s v=""/>
    <x v="11"/>
    <x v="11"/>
    <x v="2"/>
    <x v="0"/>
    <x v="0"/>
    <x v="0"/>
    <x v="0"/>
    <n v="0"/>
    <x v="1"/>
    <x v="0"/>
    <n v="0"/>
    <n v="0"/>
    <n v="0"/>
    <n v="0"/>
    <n v="0"/>
    <n v="0"/>
    <n v="0"/>
    <n v="0"/>
    <n v="0"/>
    <n v="0"/>
    <n v="0"/>
    <s v="204900000057331568155321000600"/>
    <x v="2"/>
    <x v="1"/>
    <x v="0"/>
    <x v="1"/>
  </r>
  <r>
    <x v="0"/>
    <x v="0"/>
    <s v=""/>
    <x v="11"/>
    <x v="11"/>
    <x v="2"/>
    <x v="0"/>
    <x v="0"/>
    <x v="0"/>
    <x v="0"/>
    <n v="0"/>
    <x v="1"/>
    <x v="0"/>
    <n v="0"/>
    <n v="0"/>
    <n v="0"/>
    <n v="0"/>
    <n v="0"/>
    <n v="0"/>
    <n v="0"/>
    <n v="0"/>
    <n v="0"/>
    <n v="0"/>
    <n v="0"/>
    <s v="2D4900000006940801010000000000"/>
    <x v="2"/>
    <x v="1"/>
    <x v="0"/>
    <x v="1"/>
  </r>
  <r>
    <x v="0"/>
    <x v="0"/>
    <s v=""/>
    <x v="11"/>
    <x v="11"/>
    <x v="2"/>
    <x v="0"/>
    <x v="0"/>
    <x v="0"/>
    <x v="0"/>
    <n v="0"/>
    <x v="1"/>
    <x v="0"/>
    <n v="0"/>
    <n v="0"/>
    <n v="0"/>
    <n v="0"/>
    <n v="0"/>
    <n v="0"/>
    <n v="0"/>
    <n v="0"/>
    <n v="0"/>
    <n v="0"/>
    <n v="0"/>
    <s v="2D4900000006140001010000000000"/>
    <x v="2"/>
    <x v="1"/>
    <x v="0"/>
    <x v="1"/>
  </r>
  <r>
    <x v="0"/>
    <x v="0"/>
    <s v=""/>
    <x v="11"/>
    <x v="11"/>
    <x v="2"/>
    <x v="0"/>
    <x v="0"/>
    <x v="0"/>
    <x v="0"/>
    <n v="0"/>
    <x v="1"/>
    <x v="0"/>
    <n v="0"/>
    <n v="0"/>
    <n v="0"/>
    <n v="0"/>
    <n v="0"/>
    <n v="0"/>
    <n v="0"/>
    <n v="0"/>
    <n v="0"/>
    <n v="0"/>
    <n v="0"/>
    <s v="7049000000005FBC18000000000000"/>
    <x v="2"/>
    <x v="1"/>
    <x v="0"/>
    <x v="1"/>
  </r>
  <r>
    <x v="0"/>
    <x v="0"/>
    <s v=""/>
    <x v="11"/>
    <x v="11"/>
    <x v="2"/>
    <x v="0"/>
    <x v="0"/>
    <x v="0"/>
    <x v="0"/>
    <n v="0"/>
    <x v="1"/>
    <x v="0"/>
    <n v="0"/>
    <n v="0"/>
    <n v="0"/>
    <n v="0"/>
    <n v="0"/>
    <n v="0"/>
    <n v="0"/>
    <n v="0"/>
    <n v="0"/>
    <n v="0"/>
    <n v="0"/>
    <s v="7049000000004E0000000000000000"/>
    <x v="2"/>
    <x v="1"/>
    <x v="0"/>
    <x v="1"/>
  </r>
  <r>
    <x v="0"/>
    <x v="0"/>
    <s v=""/>
    <x v="11"/>
    <x v="11"/>
    <x v="2"/>
    <x v="0"/>
    <x v="0"/>
    <x v="0"/>
    <x v="0"/>
    <n v="0"/>
    <x v="1"/>
    <x v="0"/>
    <n v="0"/>
    <n v="0"/>
    <n v="0"/>
    <n v="0"/>
    <n v="0"/>
    <n v="0"/>
    <n v="0"/>
    <n v="0"/>
    <n v="0"/>
    <n v="0"/>
    <n v="0"/>
    <s v="6F49000000006AEB0B160000000000"/>
    <x v="2"/>
    <x v="1"/>
    <x v="0"/>
    <x v="1"/>
  </r>
  <r>
    <x v="0"/>
    <x v="0"/>
    <s v=""/>
    <x v="11"/>
    <x v="11"/>
    <x v="2"/>
    <x v="0"/>
    <x v="0"/>
    <x v="0"/>
    <x v="0"/>
    <n v="0"/>
    <x v="1"/>
    <x v="0"/>
    <n v="0"/>
    <n v="0"/>
    <n v="0"/>
    <n v="0"/>
    <n v="0"/>
    <n v="0"/>
    <n v="0"/>
    <n v="0"/>
    <n v="0"/>
    <n v="0"/>
    <n v="0"/>
    <s v="2347000000667C0113010000000000"/>
    <x v="2"/>
    <x v="1"/>
    <x v="0"/>
    <x v="1"/>
  </r>
  <r>
    <x v="0"/>
    <x v="0"/>
    <s v=""/>
    <x v="11"/>
    <x v="11"/>
    <x v="2"/>
    <x v="0"/>
    <x v="0"/>
    <x v="0"/>
    <x v="0"/>
    <n v="0"/>
    <x v="1"/>
    <x v="0"/>
    <n v="0"/>
    <n v="0"/>
    <n v="0"/>
    <n v="0"/>
    <n v="0"/>
    <n v="0"/>
    <n v="0"/>
    <n v="0"/>
    <n v="0"/>
    <n v="0"/>
    <n v="0"/>
    <s v="6F43000000023EEB13010000000000"/>
    <x v="2"/>
    <x v="1"/>
    <x v="0"/>
    <x v="1"/>
  </r>
  <r>
    <x v="0"/>
    <x v="0"/>
    <s v=""/>
    <x v="11"/>
    <x v="11"/>
    <x v="2"/>
    <x v="0"/>
    <x v="0"/>
    <x v="0"/>
    <x v="0"/>
    <n v="0"/>
    <x v="1"/>
    <x v="0"/>
    <n v="0"/>
    <n v="0"/>
    <n v="0"/>
    <n v="0"/>
    <n v="0"/>
    <n v="0"/>
    <n v="0"/>
    <n v="0"/>
    <n v="0"/>
    <n v="0"/>
    <n v="0"/>
    <s v="233D00000066450101460100000000"/>
    <x v="2"/>
    <x v="1"/>
    <x v="0"/>
    <x v="1"/>
  </r>
  <r>
    <x v="0"/>
    <x v="0"/>
    <s v=""/>
    <x v="11"/>
    <x v="11"/>
    <x v="2"/>
    <x v="0"/>
    <x v="0"/>
    <x v="0"/>
    <x v="0"/>
    <n v="0"/>
    <x v="1"/>
    <x v="0"/>
    <n v="0"/>
    <n v="0"/>
    <n v="0"/>
    <n v="0"/>
    <n v="0"/>
    <n v="0"/>
    <n v="0"/>
    <n v="0"/>
    <n v="0"/>
    <n v="0"/>
    <n v="0"/>
    <s v="703C000000E60A5801460100000000"/>
    <x v="2"/>
    <x v="1"/>
    <x v="0"/>
    <x v="1"/>
  </r>
  <r>
    <x v="0"/>
    <x v="0"/>
    <s v=""/>
    <x v="11"/>
    <x v="11"/>
    <x v="2"/>
    <x v="0"/>
    <x v="0"/>
    <x v="0"/>
    <x v="0"/>
    <n v="0"/>
    <x v="1"/>
    <x v="0"/>
    <n v="0"/>
    <n v="0"/>
    <n v="0"/>
    <n v="0"/>
    <n v="0"/>
    <n v="0"/>
    <n v="0"/>
    <n v="0"/>
    <n v="0"/>
    <n v="0"/>
    <n v="0"/>
    <s v="704900000006300600000000000000"/>
    <x v="2"/>
    <x v="1"/>
    <x v="0"/>
    <x v="1"/>
  </r>
  <r>
    <x v="0"/>
    <x v="0"/>
    <s v=""/>
    <x v="11"/>
    <x v="1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4"/>
    <x v="0"/>
    <x v="0"/>
    <x v="0"/>
  </r>
  <r>
    <x v="0"/>
    <x v="0"/>
    <s v=""/>
    <x v="11"/>
    <x v="11"/>
    <x v="3"/>
    <x v="0"/>
    <x v="1"/>
    <x v="1"/>
    <x v="1"/>
    <n v="0"/>
    <x v="3"/>
    <x v="1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1"/>
    <x v="11"/>
    <x v="2"/>
    <x v="0"/>
    <x v="0"/>
    <x v="0"/>
    <x v="0"/>
    <n v="0"/>
    <x v="4"/>
    <x v="0"/>
    <n v="0"/>
    <n v="0"/>
    <n v="0"/>
    <n v="0"/>
    <n v="0"/>
    <n v="0"/>
    <n v="0"/>
    <n v="0"/>
    <n v="0"/>
    <n v="0"/>
    <n v="0"/>
    <s v="040000000000000000000000000000"/>
    <x v="2"/>
    <x v="1"/>
    <x v="0"/>
    <x v="1"/>
  </r>
  <r>
    <x v="0"/>
    <x v="0"/>
    <s v=""/>
    <x v="11"/>
    <x v="1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5"/>
    <x v="0"/>
    <x v="0"/>
    <x v="5"/>
  </r>
  <r>
    <x v="0"/>
    <x v="0"/>
    <s v=""/>
    <x v="11"/>
    <x v="11"/>
    <x v="2"/>
    <x v="0"/>
    <x v="0"/>
    <x v="0"/>
    <x v="0"/>
    <n v="0"/>
    <x v="5"/>
    <x v="0"/>
    <n v="0"/>
    <n v="0"/>
    <n v="0"/>
    <n v="0"/>
    <n v="0"/>
    <n v="0"/>
    <n v="0"/>
    <n v="0"/>
    <n v="0"/>
    <n v="0"/>
    <n v="0"/>
    <s v="E90088180011000000000000000000"/>
    <x v="2"/>
    <x v="1"/>
    <x v="0"/>
    <x v="1"/>
  </r>
  <r>
    <x v="0"/>
    <x v="0"/>
    <s v=""/>
    <x v="11"/>
    <x v="11"/>
    <x v="2"/>
    <x v="0"/>
    <x v="0"/>
    <x v="0"/>
    <x v="0"/>
    <n v="0"/>
    <x v="5"/>
    <x v="0"/>
    <n v="0"/>
    <n v="0"/>
    <n v="0"/>
    <n v="0"/>
    <n v="0"/>
    <n v="0"/>
    <n v="0"/>
    <n v="0"/>
    <n v="0"/>
    <n v="0"/>
    <n v="0"/>
    <s v="E800BE3FA813000000000000000000"/>
    <x v="2"/>
    <x v="1"/>
    <x v="0"/>
    <x v="1"/>
  </r>
  <r>
    <x v="0"/>
    <x v="0"/>
    <s v=""/>
    <x v="12"/>
    <x v="12"/>
    <x v="2"/>
    <x v="0"/>
    <x v="0"/>
    <x v="0"/>
    <x v="0"/>
    <n v="0"/>
    <x v="1"/>
    <x v="0"/>
    <n v="0"/>
    <n v="0"/>
    <n v="0"/>
    <n v="0"/>
    <n v="0"/>
    <n v="0"/>
    <n v="0"/>
    <n v="0"/>
    <n v="0"/>
    <n v="0"/>
    <n v="0"/>
    <s v="2D4900000007140001010000000000"/>
    <x v="2"/>
    <x v="1"/>
    <x v="0"/>
    <x v="1"/>
  </r>
  <r>
    <x v="0"/>
    <x v="0"/>
    <s v=""/>
    <x v="12"/>
    <x v="12"/>
    <x v="2"/>
    <x v="0"/>
    <x v="0"/>
    <x v="0"/>
    <x v="0"/>
    <n v="0"/>
    <x v="1"/>
    <x v="0"/>
    <n v="0"/>
    <n v="0"/>
    <n v="0"/>
    <n v="0"/>
    <n v="0"/>
    <n v="0"/>
    <n v="0"/>
    <n v="0"/>
    <n v="0"/>
    <n v="0"/>
    <n v="0"/>
    <s v="324900000007190100010000000000"/>
    <x v="2"/>
    <x v="1"/>
    <x v="0"/>
    <x v="1"/>
  </r>
  <r>
    <x v="0"/>
    <x v="0"/>
    <s v=""/>
    <x v="12"/>
    <x v="12"/>
    <x v="2"/>
    <x v="0"/>
    <x v="0"/>
    <x v="0"/>
    <x v="0"/>
    <n v="0"/>
    <x v="1"/>
    <x v="0"/>
    <n v="0"/>
    <n v="0"/>
    <n v="0"/>
    <n v="0"/>
    <n v="0"/>
    <n v="0"/>
    <n v="0"/>
    <n v="0"/>
    <n v="0"/>
    <n v="0"/>
    <n v="0"/>
    <s v="6F49000000076AEB0B170000000000"/>
    <x v="2"/>
    <x v="1"/>
    <x v="0"/>
    <x v="1"/>
  </r>
  <r>
    <x v="0"/>
    <x v="0"/>
    <s v=""/>
    <x v="12"/>
    <x v="12"/>
    <x v="2"/>
    <x v="0"/>
    <x v="0"/>
    <x v="0"/>
    <x v="0"/>
    <n v="0"/>
    <x v="1"/>
    <x v="0"/>
    <n v="0"/>
    <n v="0"/>
    <n v="0"/>
    <n v="0"/>
    <n v="0"/>
    <n v="0"/>
    <n v="0"/>
    <n v="0"/>
    <n v="0"/>
    <n v="0"/>
    <n v="0"/>
    <s v="6F490000000798EB00000000000000"/>
    <x v="2"/>
    <x v="1"/>
    <x v="0"/>
    <x v="1"/>
  </r>
  <r>
    <x v="0"/>
    <x v="0"/>
    <s v=""/>
    <x v="12"/>
    <x v="12"/>
    <x v="2"/>
    <x v="0"/>
    <x v="0"/>
    <x v="0"/>
    <x v="0"/>
    <n v="0"/>
    <x v="1"/>
    <x v="0"/>
    <n v="0"/>
    <n v="0"/>
    <n v="0"/>
    <n v="0"/>
    <n v="0"/>
    <n v="0"/>
    <n v="0"/>
    <n v="0"/>
    <n v="0"/>
    <n v="0"/>
    <n v="0"/>
    <s v="70490000000DDE0000000000000000"/>
    <x v="2"/>
    <x v="1"/>
    <x v="0"/>
    <x v="1"/>
  </r>
  <r>
    <x v="0"/>
    <x v="0"/>
    <s v=""/>
    <x v="12"/>
    <x v="12"/>
    <x v="2"/>
    <x v="0"/>
    <x v="0"/>
    <x v="0"/>
    <x v="0"/>
    <n v="0"/>
    <x v="1"/>
    <x v="0"/>
    <n v="0"/>
    <n v="0"/>
    <n v="0"/>
    <n v="0"/>
    <n v="0"/>
    <n v="0"/>
    <n v="0"/>
    <n v="0"/>
    <n v="0"/>
    <n v="0"/>
    <n v="0"/>
    <s v="6F490000000D6AEB06170000000000"/>
    <x v="2"/>
    <x v="1"/>
    <x v="0"/>
    <x v="1"/>
  </r>
  <r>
    <x v="0"/>
    <x v="0"/>
    <s v=""/>
    <x v="12"/>
    <x v="12"/>
    <x v="2"/>
    <x v="0"/>
    <x v="0"/>
    <x v="0"/>
    <x v="0"/>
    <n v="0"/>
    <x v="1"/>
    <x v="0"/>
    <n v="0"/>
    <n v="0"/>
    <n v="0"/>
    <n v="0"/>
    <n v="0"/>
    <n v="0"/>
    <n v="0"/>
    <n v="0"/>
    <n v="0"/>
    <n v="0"/>
    <n v="0"/>
    <s v="70490000002952E900881800110000"/>
    <x v="2"/>
    <x v="1"/>
    <x v="0"/>
    <x v="1"/>
  </r>
  <r>
    <x v="0"/>
    <x v="0"/>
    <s v=""/>
    <x v="12"/>
    <x v="12"/>
    <x v="2"/>
    <x v="0"/>
    <x v="0"/>
    <x v="0"/>
    <x v="0"/>
    <n v="0"/>
    <x v="1"/>
    <x v="0"/>
    <n v="0"/>
    <n v="0"/>
    <n v="0"/>
    <n v="0"/>
    <n v="0"/>
    <n v="0"/>
    <n v="0"/>
    <n v="0"/>
    <n v="0"/>
    <n v="0"/>
    <n v="0"/>
    <s v="70490000002952E800BE3FA8130000"/>
    <x v="2"/>
    <x v="1"/>
    <x v="0"/>
    <x v="1"/>
  </r>
  <r>
    <x v="0"/>
    <x v="0"/>
    <s v=""/>
    <x v="12"/>
    <x v="12"/>
    <x v="2"/>
    <x v="0"/>
    <x v="0"/>
    <x v="0"/>
    <x v="0"/>
    <n v="0"/>
    <x v="1"/>
    <x v="0"/>
    <n v="0"/>
    <n v="0"/>
    <n v="0"/>
    <n v="0"/>
    <n v="0"/>
    <n v="0"/>
    <n v="0"/>
    <n v="0"/>
    <n v="0"/>
    <n v="0"/>
    <n v="0"/>
    <s v="6F4900000036E1EAE8070000000000"/>
    <x v="2"/>
    <x v="1"/>
    <x v="0"/>
    <x v="1"/>
  </r>
  <r>
    <x v="0"/>
    <x v="0"/>
    <s v=""/>
    <x v="12"/>
    <x v="12"/>
    <x v="2"/>
    <x v="0"/>
    <x v="0"/>
    <x v="0"/>
    <x v="0"/>
    <n v="0"/>
    <x v="1"/>
    <x v="0"/>
    <n v="0"/>
    <n v="0"/>
    <n v="0"/>
    <n v="0"/>
    <n v="0"/>
    <n v="0"/>
    <n v="0"/>
    <n v="0"/>
    <n v="0"/>
    <n v="0"/>
    <n v="0"/>
    <s v="6F49000000436AEB23170000000000"/>
    <x v="2"/>
    <x v="1"/>
    <x v="0"/>
    <x v="1"/>
  </r>
  <r>
    <x v="0"/>
    <x v="0"/>
    <s v=""/>
    <x v="12"/>
    <x v="12"/>
    <x v="2"/>
    <x v="0"/>
    <x v="0"/>
    <x v="0"/>
    <x v="0"/>
    <n v="0"/>
    <x v="1"/>
    <x v="0"/>
    <n v="0"/>
    <n v="0"/>
    <n v="0"/>
    <n v="0"/>
    <n v="0"/>
    <n v="0"/>
    <n v="0"/>
    <n v="0"/>
    <n v="0"/>
    <n v="0"/>
    <n v="0"/>
    <s v="6F49000000506AEB4C170000000000"/>
    <x v="2"/>
    <x v="1"/>
    <x v="0"/>
    <x v="1"/>
  </r>
  <r>
    <x v="0"/>
    <x v="0"/>
    <s v=""/>
    <x v="12"/>
    <x v="12"/>
    <x v="2"/>
    <x v="0"/>
    <x v="0"/>
    <x v="0"/>
    <x v="0"/>
    <n v="0"/>
    <x v="6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12"/>
    <x v="12"/>
    <x v="2"/>
    <x v="0"/>
    <x v="0"/>
    <x v="0"/>
    <x v="0"/>
    <n v="0"/>
    <x v="7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12"/>
    <x v="1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5"/>
    <x v="0"/>
    <x v="0"/>
    <x v="6"/>
  </r>
  <r>
    <x v="0"/>
    <x v="0"/>
    <s v=""/>
    <x v="12"/>
    <x v="12"/>
    <x v="2"/>
    <x v="0"/>
    <x v="0"/>
    <x v="0"/>
    <x v="0"/>
    <n v="0"/>
    <x v="5"/>
    <x v="0"/>
    <n v="0"/>
    <n v="0"/>
    <n v="0"/>
    <n v="0"/>
    <n v="0"/>
    <n v="0"/>
    <n v="0"/>
    <n v="0"/>
    <n v="0"/>
    <n v="0"/>
    <n v="0"/>
    <s v="E90088180011000000000000000000"/>
    <x v="2"/>
    <x v="1"/>
    <x v="0"/>
    <x v="1"/>
  </r>
  <r>
    <x v="0"/>
    <x v="0"/>
    <s v=""/>
    <x v="12"/>
    <x v="12"/>
    <x v="2"/>
    <x v="0"/>
    <x v="0"/>
    <x v="0"/>
    <x v="0"/>
    <n v="0"/>
    <x v="5"/>
    <x v="0"/>
    <n v="0"/>
    <n v="0"/>
    <n v="0"/>
    <n v="0"/>
    <n v="0"/>
    <n v="0"/>
    <n v="0"/>
    <n v="0"/>
    <n v="0"/>
    <n v="0"/>
    <n v="0"/>
    <s v="E800BE3FA813000000000000000000"/>
    <x v="2"/>
    <x v="1"/>
    <x v="0"/>
    <x v="1"/>
  </r>
  <r>
    <x v="0"/>
    <x v="0"/>
    <s v=""/>
    <x v="13"/>
    <x v="13"/>
    <x v="2"/>
    <x v="0"/>
    <x v="0"/>
    <x v="0"/>
    <x v="0"/>
    <n v="0"/>
    <x v="1"/>
    <x v="0"/>
    <n v="0"/>
    <n v="0"/>
    <n v="0"/>
    <n v="0"/>
    <n v="0"/>
    <n v="0"/>
    <n v="0"/>
    <n v="0"/>
    <n v="0"/>
    <n v="0"/>
    <n v="0"/>
    <s v="6F49000000C149EBDF0703020B3103"/>
    <x v="2"/>
    <x v="1"/>
    <x v="0"/>
    <x v="1"/>
  </r>
  <r>
    <x v="0"/>
    <x v="0"/>
    <s v=""/>
    <x v="13"/>
    <x v="13"/>
    <x v="2"/>
    <x v="0"/>
    <x v="0"/>
    <x v="0"/>
    <x v="0"/>
    <n v="0"/>
    <x v="2"/>
    <x v="0"/>
    <n v="0"/>
    <n v="0"/>
    <n v="0"/>
    <n v="0"/>
    <n v="0"/>
    <n v="0"/>
    <n v="0"/>
    <n v="0"/>
    <n v="0"/>
    <n v="0"/>
    <n v="0"/>
    <s v="12012114008081B007090000007E2B"/>
    <x v="2"/>
    <x v="1"/>
    <x v="0"/>
    <x v="1"/>
  </r>
  <r>
    <x v="0"/>
    <x v="0"/>
    <s v=""/>
    <x v="13"/>
    <x v="13"/>
    <x v="2"/>
    <x v="0"/>
    <x v="0"/>
    <x v="0"/>
    <x v="0"/>
    <n v="0"/>
    <x v="2"/>
    <x v="0"/>
    <n v="0"/>
    <n v="0"/>
    <n v="0"/>
    <n v="0"/>
    <n v="0"/>
    <n v="0"/>
    <n v="0"/>
    <n v="0"/>
    <n v="0"/>
    <n v="0"/>
    <n v="0"/>
    <s v="130200DF0703020B31350301000000"/>
    <x v="2"/>
    <x v="1"/>
    <x v="0"/>
    <x v="1"/>
  </r>
  <r>
    <x v="0"/>
    <x v="0"/>
    <s v=""/>
    <x v="13"/>
    <x v="13"/>
    <x v="2"/>
    <x v="0"/>
    <x v="0"/>
    <x v="0"/>
    <x v="0"/>
    <n v="0"/>
    <x v="1"/>
    <x v="0"/>
    <n v="0"/>
    <n v="0"/>
    <n v="0"/>
    <n v="0"/>
    <n v="0"/>
    <n v="0"/>
    <n v="0"/>
    <n v="0"/>
    <n v="0"/>
    <n v="0"/>
    <n v="0"/>
    <s v="6F49000000C185C301070107010000"/>
    <x v="2"/>
    <x v="1"/>
    <x v="0"/>
    <x v="1"/>
  </r>
  <r>
    <x v="0"/>
    <x v="0"/>
    <s v=""/>
    <x v="13"/>
    <x v="13"/>
    <x v="2"/>
    <x v="0"/>
    <x v="0"/>
    <x v="0"/>
    <x v="0"/>
    <n v="0"/>
    <x v="1"/>
    <x v="0"/>
    <n v="0"/>
    <n v="0"/>
    <n v="0"/>
    <n v="0"/>
    <n v="0"/>
    <n v="0"/>
    <n v="0"/>
    <n v="0"/>
    <n v="0"/>
    <n v="0"/>
    <n v="0"/>
    <s v="704A0000001C52E900881800110000"/>
    <x v="2"/>
    <x v="1"/>
    <x v="0"/>
    <x v="1"/>
  </r>
  <r>
    <x v="0"/>
    <x v="0"/>
    <s v=""/>
    <x v="13"/>
    <x v="13"/>
    <x v="2"/>
    <x v="0"/>
    <x v="0"/>
    <x v="0"/>
    <x v="0"/>
    <n v="0"/>
    <x v="1"/>
    <x v="0"/>
    <n v="0"/>
    <n v="0"/>
    <n v="0"/>
    <n v="0"/>
    <n v="0"/>
    <n v="0"/>
    <n v="0"/>
    <n v="0"/>
    <n v="0"/>
    <n v="0"/>
    <n v="0"/>
    <s v="704A0000001D52E800BE3FA8130000"/>
    <x v="2"/>
    <x v="1"/>
    <x v="0"/>
    <x v="1"/>
  </r>
  <r>
    <x v="0"/>
    <x v="0"/>
    <s v=""/>
    <x v="13"/>
    <x v="13"/>
    <x v="2"/>
    <x v="0"/>
    <x v="0"/>
    <x v="0"/>
    <x v="0"/>
    <n v="0"/>
    <x v="1"/>
    <x v="0"/>
    <n v="0"/>
    <n v="0"/>
    <n v="0"/>
    <n v="0"/>
    <n v="0"/>
    <n v="0"/>
    <n v="0"/>
    <n v="0"/>
    <n v="0"/>
    <n v="0"/>
    <n v="0"/>
    <s v="204A00000057331568155320002800"/>
    <x v="2"/>
    <x v="1"/>
    <x v="0"/>
    <x v="1"/>
  </r>
  <r>
    <x v="0"/>
    <x v="0"/>
    <s v=""/>
    <x v="13"/>
    <x v="13"/>
    <x v="2"/>
    <x v="0"/>
    <x v="0"/>
    <x v="0"/>
    <x v="0"/>
    <n v="0"/>
    <x v="5"/>
    <x v="0"/>
    <n v="0"/>
    <n v="0"/>
    <n v="0"/>
    <n v="0"/>
    <n v="0"/>
    <n v="0"/>
    <n v="0"/>
    <n v="0"/>
    <n v="0"/>
    <n v="0"/>
    <n v="0"/>
    <s v="E92000000001000000000000000000"/>
    <x v="2"/>
    <x v="1"/>
    <x v="0"/>
    <x v="1"/>
  </r>
  <r>
    <x v="0"/>
    <x v="0"/>
    <s v=""/>
    <x v="13"/>
    <x v="13"/>
    <x v="2"/>
    <x v="0"/>
    <x v="0"/>
    <x v="0"/>
    <x v="0"/>
    <n v="0"/>
    <x v="5"/>
    <x v="0"/>
    <n v="0"/>
    <n v="0"/>
    <n v="0"/>
    <n v="0"/>
    <n v="0"/>
    <n v="0"/>
    <n v="0"/>
    <n v="0"/>
    <n v="0"/>
    <n v="0"/>
    <n v="0"/>
    <s v="E82080159011000000000000000000"/>
    <x v="2"/>
    <x v="1"/>
    <x v="0"/>
    <x v="1"/>
  </r>
  <r>
    <x v="0"/>
    <x v="0"/>
    <s v=""/>
    <x v="14"/>
    <x v="1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"/>
    <x v="0"/>
    <x v="0"/>
    <x v="3"/>
  </r>
  <r>
    <x v="0"/>
    <x v="0"/>
    <s v=""/>
    <x v="14"/>
    <x v="14"/>
    <x v="2"/>
    <x v="0"/>
    <x v="0"/>
    <x v="0"/>
    <x v="0"/>
    <n v="0"/>
    <x v="5"/>
    <x v="0"/>
    <n v="0"/>
    <n v="0"/>
    <n v="0"/>
    <n v="0"/>
    <n v="0"/>
    <n v="0"/>
    <n v="0"/>
    <n v="0"/>
    <n v="0"/>
    <n v="0"/>
    <n v="0"/>
    <s v="E92000000001000000000000000000"/>
    <x v="2"/>
    <x v="1"/>
    <x v="0"/>
    <x v="1"/>
  </r>
  <r>
    <x v="0"/>
    <x v="0"/>
    <s v=""/>
    <x v="14"/>
    <x v="14"/>
    <x v="2"/>
    <x v="0"/>
    <x v="0"/>
    <x v="0"/>
    <x v="0"/>
    <n v="0"/>
    <x v="5"/>
    <x v="0"/>
    <n v="0"/>
    <n v="0"/>
    <n v="0"/>
    <n v="0"/>
    <n v="0"/>
    <n v="0"/>
    <n v="0"/>
    <n v="0"/>
    <n v="0"/>
    <n v="0"/>
    <n v="0"/>
    <s v="E82080159011000000000000000000"/>
    <x v="2"/>
    <x v="1"/>
    <x v="0"/>
    <x v="1"/>
  </r>
  <r>
    <x v="0"/>
    <x v="0"/>
    <s v=""/>
    <x v="15"/>
    <x v="15"/>
    <x v="2"/>
    <x v="0"/>
    <x v="0"/>
    <x v="0"/>
    <x v="0"/>
    <n v="0"/>
    <x v="5"/>
    <x v="0"/>
    <n v="0"/>
    <n v="0"/>
    <n v="0"/>
    <n v="0"/>
    <n v="0"/>
    <n v="0"/>
    <n v="0"/>
    <n v="0"/>
    <n v="0"/>
    <n v="0"/>
    <n v="0"/>
    <s v="E92000000001000000000000000000"/>
    <x v="2"/>
    <x v="1"/>
    <x v="0"/>
    <x v="1"/>
  </r>
  <r>
    <x v="0"/>
    <x v="0"/>
    <s v=""/>
    <x v="15"/>
    <x v="15"/>
    <x v="2"/>
    <x v="0"/>
    <x v="0"/>
    <x v="0"/>
    <x v="0"/>
    <n v="0"/>
    <x v="5"/>
    <x v="0"/>
    <n v="0"/>
    <n v="0"/>
    <n v="0"/>
    <n v="0"/>
    <n v="0"/>
    <n v="0"/>
    <n v="0"/>
    <n v="0"/>
    <n v="0"/>
    <n v="0"/>
    <n v="0"/>
    <s v="E82080159011000000000000000000"/>
    <x v="2"/>
    <x v="1"/>
    <x v="0"/>
    <x v="1"/>
  </r>
  <r>
    <x v="0"/>
    <x v="0"/>
    <s v=""/>
    <x v="16"/>
    <x v="16"/>
    <x v="2"/>
    <x v="0"/>
    <x v="0"/>
    <x v="0"/>
    <x v="0"/>
    <n v="0"/>
    <x v="5"/>
    <x v="0"/>
    <n v="0"/>
    <n v="0"/>
    <n v="0"/>
    <n v="0"/>
    <n v="0"/>
    <n v="0"/>
    <n v="0"/>
    <n v="0"/>
    <n v="0"/>
    <n v="0"/>
    <n v="0"/>
    <s v="E82080159011000000000000000000"/>
    <x v="2"/>
    <x v="1"/>
    <x v="0"/>
    <x v="1"/>
  </r>
  <r>
    <x v="0"/>
    <x v="0"/>
    <s v=""/>
    <x v="16"/>
    <x v="16"/>
    <x v="2"/>
    <x v="0"/>
    <x v="0"/>
    <x v="0"/>
    <x v="0"/>
    <n v="0"/>
    <x v="5"/>
    <x v="0"/>
    <n v="0"/>
    <n v="0"/>
    <n v="0"/>
    <n v="0"/>
    <n v="0"/>
    <n v="0"/>
    <n v="0"/>
    <n v="0"/>
    <n v="0"/>
    <n v="0"/>
    <n v="0"/>
    <s v="E92000000001000000000000000000"/>
    <x v="2"/>
    <x v="1"/>
    <x v="0"/>
    <x v="1"/>
  </r>
  <r>
    <x v="0"/>
    <x v="0"/>
    <s v=""/>
    <x v="17"/>
    <x v="17"/>
    <x v="2"/>
    <x v="0"/>
    <x v="0"/>
    <x v="0"/>
    <x v="0"/>
    <n v="0"/>
    <x v="5"/>
    <x v="0"/>
    <n v="0"/>
    <n v="0"/>
    <n v="0"/>
    <n v="0"/>
    <n v="0"/>
    <n v="0"/>
    <n v="0"/>
    <n v="0"/>
    <n v="0"/>
    <n v="0"/>
    <n v="0"/>
    <s v="E940C0000000000000000000000000"/>
    <x v="2"/>
    <x v="1"/>
    <x v="0"/>
    <x v="1"/>
  </r>
  <r>
    <x v="0"/>
    <x v="0"/>
    <s v=""/>
    <x v="17"/>
    <x v="17"/>
    <x v="2"/>
    <x v="0"/>
    <x v="0"/>
    <x v="0"/>
    <x v="0"/>
    <n v="0"/>
    <x v="5"/>
    <x v="0"/>
    <n v="0"/>
    <n v="0"/>
    <n v="0"/>
    <n v="0"/>
    <n v="0"/>
    <n v="0"/>
    <n v="0"/>
    <n v="0"/>
    <n v="0"/>
    <n v="0"/>
    <n v="0"/>
    <s v="E840FAD00000000000000000000000"/>
    <x v="2"/>
    <x v="1"/>
    <x v="0"/>
    <x v="1"/>
  </r>
  <r>
    <x v="0"/>
    <x v="0"/>
    <s v=""/>
    <x v="18"/>
    <x v="18"/>
    <x v="2"/>
    <x v="0"/>
    <x v="0"/>
    <x v="0"/>
    <x v="0"/>
    <n v="0"/>
    <x v="5"/>
    <x v="0"/>
    <n v="0"/>
    <n v="0"/>
    <n v="0"/>
    <n v="0"/>
    <n v="0"/>
    <n v="0"/>
    <n v="0"/>
    <n v="0"/>
    <n v="0"/>
    <n v="0"/>
    <n v="0"/>
    <s v="E840FAD00000000000000000000000"/>
    <x v="2"/>
    <x v="1"/>
    <x v="0"/>
    <x v="1"/>
  </r>
  <r>
    <x v="0"/>
    <x v="0"/>
    <s v=""/>
    <x v="18"/>
    <x v="18"/>
    <x v="2"/>
    <x v="0"/>
    <x v="0"/>
    <x v="0"/>
    <x v="0"/>
    <n v="0"/>
    <x v="5"/>
    <x v="0"/>
    <n v="0"/>
    <n v="0"/>
    <n v="0"/>
    <n v="0"/>
    <n v="0"/>
    <n v="0"/>
    <n v="0"/>
    <n v="0"/>
    <n v="0"/>
    <n v="0"/>
    <n v="0"/>
    <s v="E940C0000000000000000000000000"/>
    <x v="2"/>
    <x v="1"/>
    <x v="0"/>
    <x v="1"/>
  </r>
  <r>
    <x v="0"/>
    <x v="0"/>
    <s v=""/>
    <x v="19"/>
    <x v="19"/>
    <x v="2"/>
    <x v="0"/>
    <x v="0"/>
    <x v="0"/>
    <x v="0"/>
    <n v="0"/>
    <x v="8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19"/>
    <x v="19"/>
    <x v="2"/>
    <x v="0"/>
    <x v="0"/>
    <x v="0"/>
    <x v="0"/>
    <n v="0"/>
    <x v="5"/>
    <x v="0"/>
    <n v="0"/>
    <n v="0"/>
    <n v="0"/>
    <n v="0"/>
    <n v="0"/>
    <n v="0"/>
    <n v="0"/>
    <n v="0"/>
    <n v="0"/>
    <n v="0"/>
    <n v="0"/>
    <s v="E940C0000000000000000000000000"/>
    <x v="2"/>
    <x v="1"/>
    <x v="0"/>
    <x v="1"/>
  </r>
  <r>
    <x v="0"/>
    <x v="0"/>
    <s v=""/>
    <x v="19"/>
    <x v="19"/>
    <x v="2"/>
    <x v="0"/>
    <x v="0"/>
    <x v="0"/>
    <x v="0"/>
    <n v="0"/>
    <x v="5"/>
    <x v="0"/>
    <n v="0"/>
    <n v="0"/>
    <n v="0"/>
    <n v="0"/>
    <n v="0"/>
    <n v="0"/>
    <n v="0"/>
    <n v="0"/>
    <n v="0"/>
    <n v="0"/>
    <n v="0"/>
    <s v="E840FAD00000000000000000000000"/>
    <x v="2"/>
    <x v="1"/>
    <x v="0"/>
    <x v="1"/>
  </r>
  <r>
    <x v="0"/>
    <x v="0"/>
    <s v=""/>
    <x v="20"/>
    <x v="20"/>
    <x v="2"/>
    <x v="0"/>
    <x v="0"/>
    <x v="0"/>
    <x v="0"/>
    <n v="0"/>
    <x v="5"/>
    <x v="0"/>
    <n v="0"/>
    <n v="0"/>
    <n v="0"/>
    <n v="0"/>
    <n v="0"/>
    <n v="0"/>
    <n v="0"/>
    <n v="0"/>
    <n v="0"/>
    <n v="0"/>
    <n v="0"/>
    <s v="E940C0000000000000000000000000"/>
    <x v="2"/>
    <x v="1"/>
    <x v="0"/>
    <x v="1"/>
  </r>
  <r>
    <x v="0"/>
    <x v="0"/>
    <s v=""/>
    <x v="20"/>
    <x v="20"/>
    <x v="2"/>
    <x v="0"/>
    <x v="0"/>
    <x v="0"/>
    <x v="0"/>
    <n v="0"/>
    <x v="5"/>
    <x v="0"/>
    <n v="0"/>
    <n v="0"/>
    <n v="0"/>
    <n v="0"/>
    <n v="0"/>
    <n v="0"/>
    <n v="0"/>
    <n v="0"/>
    <n v="0"/>
    <n v="0"/>
    <n v="0"/>
    <s v="E840FAD00000000000000000000000"/>
    <x v="2"/>
    <x v="1"/>
    <x v="0"/>
    <x v="1"/>
  </r>
  <r>
    <x v="0"/>
    <x v="0"/>
    <s v=""/>
    <x v="21"/>
    <x v="21"/>
    <x v="3"/>
    <x v="1"/>
    <x v="1"/>
    <x v="1"/>
    <x v="1"/>
    <n v="0"/>
    <x v="9"/>
    <x v="1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1"/>
    <x v="21"/>
    <x v="2"/>
    <x v="0"/>
    <x v="0"/>
    <x v="0"/>
    <x v="0"/>
    <n v="0"/>
    <x v="10"/>
    <x v="0"/>
    <n v="0"/>
    <n v="0"/>
    <n v="0"/>
    <n v="0"/>
    <n v="0"/>
    <n v="0"/>
    <n v="0"/>
    <n v="0"/>
    <n v="0"/>
    <n v="0"/>
    <n v="0"/>
    <s v="020000000000000000000000000000"/>
    <x v="2"/>
    <x v="1"/>
    <x v="0"/>
    <x v="1"/>
  </r>
  <r>
    <x v="0"/>
    <x v="0"/>
    <s v=""/>
    <x v="22"/>
    <x v="22"/>
    <x v="2"/>
    <x v="0"/>
    <x v="0"/>
    <x v="0"/>
    <x v="0"/>
    <n v="0"/>
    <x v="11"/>
    <x v="0"/>
    <n v="0"/>
    <n v="0"/>
    <n v="0"/>
    <n v="0"/>
    <n v="0"/>
    <n v="0"/>
    <n v="0"/>
    <n v="0"/>
    <n v="0"/>
    <n v="0"/>
    <n v="0"/>
    <s v="091700000000000000000000000000"/>
    <x v="2"/>
    <x v="1"/>
    <x v="0"/>
    <x v="1"/>
  </r>
  <r>
    <x v="0"/>
    <x v="0"/>
    <s v=""/>
    <x v="22"/>
    <x v="2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6"/>
    <x v="0"/>
    <x v="0"/>
    <x v="7"/>
  </r>
  <r>
    <x v="0"/>
    <x v="0"/>
    <s v=""/>
    <x v="23"/>
    <x v="2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5"/>
    <x v="0"/>
    <x v="0"/>
    <x v="8"/>
  </r>
  <r>
    <x v="0"/>
    <x v="0"/>
    <s v=""/>
    <x v="24"/>
    <x v="24"/>
    <x v="2"/>
    <x v="0"/>
    <x v="0"/>
    <x v="0"/>
    <x v="0"/>
    <n v="0"/>
    <x v="12"/>
    <x v="0"/>
    <n v="0"/>
    <n v="0"/>
    <n v="0"/>
    <n v="0"/>
    <n v="0"/>
    <n v="0"/>
    <n v="0"/>
    <n v="0"/>
    <n v="0"/>
    <n v="0"/>
    <n v="0"/>
    <s v="360200000000000000000000000000"/>
    <x v="2"/>
    <x v="1"/>
    <x v="0"/>
    <x v="1"/>
  </r>
  <r>
    <x v="0"/>
    <x v="0"/>
    <s v=""/>
    <x v="25"/>
    <x v="25"/>
    <x v="2"/>
    <x v="0"/>
    <x v="0"/>
    <x v="0"/>
    <x v="0"/>
    <n v="0"/>
    <x v="13"/>
    <x v="0"/>
    <n v="0"/>
    <n v="0"/>
    <n v="0"/>
    <n v="0"/>
    <n v="0"/>
    <n v="0"/>
    <n v="0"/>
    <n v="0"/>
    <n v="0"/>
    <n v="0"/>
    <n v="0"/>
    <s v="620000000000000000000000000000"/>
    <x v="2"/>
    <x v="1"/>
    <x v="0"/>
    <x v="1"/>
  </r>
  <r>
    <x v="0"/>
    <x v="0"/>
    <s v=""/>
    <x v="26"/>
    <x v="26"/>
    <x v="2"/>
    <x v="0"/>
    <x v="0"/>
    <x v="0"/>
    <x v="0"/>
    <n v="0"/>
    <x v="13"/>
    <x v="0"/>
    <n v="0"/>
    <n v="0"/>
    <n v="0"/>
    <n v="0"/>
    <n v="0"/>
    <n v="0"/>
    <n v="0"/>
    <n v="0"/>
    <n v="0"/>
    <n v="0"/>
    <n v="0"/>
    <s v="640000000000000000000000000000"/>
    <x v="2"/>
    <x v="1"/>
    <x v="0"/>
    <x v="1"/>
  </r>
  <r>
    <x v="0"/>
    <x v="0"/>
    <s v=""/>
    <x v="26"/>
    <x v="26"/>
    <x v="3"/>
    <x v="2"/>
    <x v="2"/>
    <x v="2"/>
    <x v="2"/>
    <n v="0"/>
    <x v="14"/>
    <x v="1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7"/>
    <x v="2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5"/>
    <x v="0"/>
    <x v="0"/>
    <x v="9"/>
  </r>
  <r>
    <x v="0"/>
    <x v="0"/>
    <s v=""/>
    <x v="28"/>
    <x v="28"/>
    <x v="3"/>
    <x v="3"/>
    <x v="3"/>
    <x v="3"/>
    <x v="1"/>
    <n v="0"/>
    <x v="15"/>
    <x v="1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8"/>
    <x v="2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6"/>
    <x v="0"/>
    <x v="0"/>
    <x v="10"/>
  </r>
  <r>
    <x v="0"/>
    <x v="0"/>
    <s v=""/>
    <x v="29"/>
    <x v="29"/>
    <x v="2"/>
    <x v="0"/>
    <x v="0"/>
    <x v="0"/>
    <x v="0"/>
    <n v="0"/>
    <x v="13"/>
    <x v="0"/>
    <n v="0"/>
    <n v="0"/>
    <n v="0"/>
    <n v="0"/>
    <n v="0"/>
    <n v="0"/>
    <n v="0"/>
    <n v="0"/>
    <n v="0"/>
    <n v="0"/>
    <n v="0"/>
    <s v="630000000000000000000000000000"/>
    <x v="2"/>
    <x v="1"/>
    <x v="0"/>
    <x v="1"/>
  </r>
  <r>
    <x v="0"/>
    <x v="0"/>
    <s v=""/>
    <x v="29"/>
    <x v="2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5"/>
    <x v="0"/>
    <x v="0"/>
    <x v="11"/>
  </r>
  <r>
    <x v="0"/>
    <x v="0"/>
    <s v=""/>
    <x v="30"/>
    <x v="30"/>
    <x v="3"/>
    <x v="4"/>
    <x v="4"/>
    <x v="4"/>
    <x v="3"/>
    <n v="0"/>
    <x v="15"/>
    <x v="1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31"/>
    <x v="3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5"/>
    <x v="0"/>
    <x v="0"/>
    <x v="12"/>
  </r>
  <r>
    <x v="0"/>
    <x v="0"/>
    <s v=""/>
    <x v="32"/>
    <x v="3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5"/>
    <x v="0"/>
    <x v="0"/>
    <x v="13"/>
  </r>
  <r>
    <x v="0"/>
    <x v="0"/>
    <s v=""/>
    <x v="33"/>
    <x v="33"/>
    <x v="3"/>
    <x v="3"/>
    <x v="5"/>
    <x v="5"/>
    <x v="3"/>
    <n v="0"/>
    <x v="15"/>
    <x v="1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34"/>
    <x v="34"/>
    <x v="3"/>
    <x v="0"/>
    <x v="6"/>
    <x v="6"/>
    <x v="4"/>
    <n v="0"/>
    <x v="9"/>
    <x v="1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35"/>
    <x v="35"/>
    <x v="3"/>
    <x v="1"/>
    <x v="6"/>
    <x v="6"/>
    <x v="4"/>
    <n v="0"/>
    <x v="9"/>
    <x v="1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36"/>
    <x v="3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5"/>
    <x v="0"/>
    <x v="0"/>
    <x v="14"/>
  </r>
  <r>
    <x v="0"/>
    <x v="0"/>
    <s v=""/>
    <x v="37"/>
    <x v="37"/>
    <x v="3"/>
    <x v="5"/>
    <x v="7"/>
    <x v="7"/>
    <x v="5"/>
    <n v="0"/>
    <x v="14"/>
    <x v="1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38"/>
    <x v="3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5"/>
    <x v="0"/>
    <x v="0"/>
    <x v="15"/>
  </r>
  <r>
    <x v="0"/>
    <x v="0"/>
    <s v=""/>
    <x v="39"/>
    <x v="39"/>
    <x v="3"/>
    <x v="6"/>
    <x v="8"/>
    <x v="8"/>
    <x v="5"/>
    <n v="0"/>
    <x v="15"/>
    <x v="1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39"/>
    <x v="3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5"/>
    <x v="0"/>
    <x v="0"/>
    <x v="16"/>
  </r>
  <r>
    <x v="0"/>
    <x v="0"/>
    <s v=""/>
    <x v="39"/>
    <x v="3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7"/>
    <x v="0"/>
    <x v="0"/>
    <x v="17"/>
  </r>
  <r>
    <x v="0"/>
    <x v="0"/>
    <s v=""/>
    <x v="40"/>
    <x v="40"/>
    <x v="2"/>
    <x v="0"/>
    <x v="0"/>
    <x v="0"/>
    <x v="0"/>
    <n v="0"/>
    <x v="16"/>
    <x v="0"/>
    <n v="0"/>
    <n v="0"/>
    <n v="0"/>
    <n v="0"/>
    <n v="0"/>
    <n v="0"/>
    <n v="0"/>
    <n v="0"/>
    <n v="0"/>
    <n v="0"/>
    <n v="0"/>
    <s v="070000000000000000000000000000"/>
    <x v="2"/>
    <x v="1"/>
    <x v="0"/>
    <x v="1"/>
  </r>
  <r>
    <x v="0"/>
    <x v="0"/>
    <s v=""/>
    <x v="40"/>
    <x v="40"/>
    <x v="2"/>
    <x v="0"/>
    <x v="0"/>
    <x v="0"/>
    <x v="0"/>
    <n v="0"/>
    <x v="17"/>
    <x v="0"/>
    <n v="0"/>
    <n v="0"/>
    <n v="0"/>
    <n v="0"/>
    <n v="0"/>
    <n v="0"/>
    <n v="0"/>
    <n v="0"/>
    <n v="0"/>
    <n v="0"/>
    <n v="0"/>
    <s v="070000000000000000000000000000"/>
    <x v="2"/>
    <x v="1"/>
    <x v="0"/>
    <x v="1"/>
  </r>
  <r>
    <x v="0"/>
    <x v="0"/>
    <s v=""/>
    <x v="41"/>
    <x v="4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7"/>
    <x v="0"/>
    <x v="0"/>
    <x v="18"/>
  </r>
  <r>
    <x v="0"/>
    <x v="0"/>
    <s v=""/>
    <x v="42"/>
    <x v="42"/>
    <x v="2"/>
    <x v="0"/>
    <x v="0"/>
    <x v="0"/>
    <x v="0"/>
    <n v="0"/>
    <x v="18"/>
    <x v="0"/>
    <n v="0"/>
    <n v="0"/>
    <n v="0"/>
    <n v="0"/>
    <n v="0"/>
    <n v="0"/>
    <n v="0"/>
    <n v="0"/>
    <n v="0"/>
    <n v="0"/>
    <n v="0"/>
    <s v="08080900800D000000000000000000"/>
    <x v="2"/>
    <x v="1"/>
    <x v="0"/>
    <x v="1"/>
  </r>
  <r>
    <x v="0"/>
    <x v="0"/>
    <s v=""/>
    <x v="43"/>
    <x v="4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5"/>
    <x v="0"/>
    <x v="0"/>
    <x v="19"/>
  </r>
  <r>
    <x v="0"/>
    <x v="0"/>
    <s v=""/>
    <x v="44"/>
    <x v="44"/>
    <x v="3"/>
    <x v="7"/>
    <x v="9"/>
    <x v="9"/>
    <x v="6"/>
    <n v="0"/>
    <x v="19"/>
    <x v="1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45"/>
    <x v="4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5"/>
    <x v="0"/>
    <x v="0"/>
    <x v="20"/>
  </r>
  <r>
    <x v="0"/>
    <x v="0"/>
    <s v=""/>
    <x v="46"/>
    <x v="46"/>
    <x v="3"/>
    <x v="8"/>
    <x v="10"/>
    <x v="10"/>
    <x v="7"/>
    <n v="0"/>
    <x v="15"/>
    <x v="1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47"/>
    <x v="47"/>
    <x v="3"/>
    <x v="6"/>
    <x v="11"/>
    <x v="11"/>
    <x v="6"/>
    <n v="0"/>
    <x v="15"/>
    <x v="1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48"/>
    <x v="48"/>
    <x v="3"/>
    <x v="9"/>
    <x v="12"/>
    <x v="12"/>
    <x v="6"/>
    <n v="0"/>
    <x v="15"/>
    <x v="1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49"/>
    <x v="4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7"/>
    <x v="0"/>
    <x v="0"/>
    <x v="21"/>
  </r>
  <r>
    <x v="0"/>
    <x v="0"/>
    <s v=""/>
    <x v="50"/>
    <x v="50"/>
    <x v="3"/>
    <x v="10"/>
    <x v="13"/>
    <x v="13"/>
    <x v="8"/>
    <n v="0"/>
    <x v="15"/>
    <x v="1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51"/>
    <x v="5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7"/>
    <x v="0"/>
    <x v="0"/>
    <x v="18"/>
  </r>
  <r>
    <x v="0"/>
    <x v="0"/>
    <s v=""/>
    <x v="52"/>
    <x v="52"/>
    <x v="3"/>
    <x v="0"/>
    <x v="14"/>
    <x v="14"/>
    <x v="8"/>
    <n v="0"/>
    <x v="9"/>
    <x v="1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53"/>
    <x v="53"/>
    <x v="3"/>
    <x v="11"/>
    <x v="14"/>
    <x v="14"/>
    <x v="8"/>
    <n v="0"/>
    <x v="9"/>
    <x v="1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54"/>
    <x v="5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5"/>
    <x v="0"/>
    <x v="0"/>
    <x v="22"/>
  </r>
  <r>
    <x v="0"/>
    <x v="0"/>
    <s v=""/>
    <x v="54"/>
    <x v="5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7"/>
    <x v="0"/>
    <x v="0"/>
    <x v="23"/>
  </r>
  <r>
    <x v="0"/>
    <x v="0"/>
    <s v=""/>
    <x v="55"/>
    <x v="55"/>
    <x v="3"/>
    <x v="12"/>
    <x v="15"/>
    <x v="15"/>
    <x v="8"/>
    <n v="0"/>
    <x v="15"/>
    <x v="1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56"/>
    <x v="56"/>
    <x v="3"/>
    <x v="13"/>
    <x v="16"/>
    <x v="16"/>
    <x v="8"/>
    <n v="0"/>
    <x v="15"/>
    <x v="1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56"/>
    <x v="5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6"/>
    <x v="0"/>
    <x v="0"/>
    <x v="24"/>
  </r>
  <r>
    <x v="0"/>
    <x v="0"/>
    <s v=""/>
    <x v="57"/>
    <x v="5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7"/>
    <x v="0"/>
    <x v="0"/>
    <x v="25"/>
  </r>
  <r>
    <x v="0"/>
    <x v="0"/>
    <s v=""/>
    <x v="58"/>
    <x v="58"/>
    <x v="3"/>
    <x v="0"/>
    <x v="17"/>
    <x v="17"/>
    <x v="8"/>
    <n v="0"/>
    <x v="9"/>
    <x v="1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59"/>
    <x v="59"/>
    <x v="3"/>
    <x v="0"/>
    <x v="18"/>
    <x v="18"/>
    <x v="8"/>
    <n v="0"/>
    <x v="19"/>
    <x v="1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60"/>
    <x v="6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5"/>
    <x v="0"/>
    <x v="0"/>
    <x v="26"/>
  </r>
  <r>
    <x v="0"/>
    <x v="0"/>
    <s v=""/>
    <x v="61"/>
    <x v="61"/>
    <x v="3"/>
    <x v="14"/>
    <x v="18"/>
    <x v="18"/>
    <x v="8"/>
    <n v="0"/>
    <x v="9"/>
    <x v="1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62"/>
    <x v="6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5"/>
    <x v="0"/>
    <x v="0"/>
    <x v="27"/>
  </r>
  <r>
    <x v="0"/>
    <x v="0"/>
    <s v=""/>
    <x v="63"/>
    <x v="6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5"/>
    <x v="0"/>
    <x v="0"/>
    <x v="28"/>
  </r>
  <r>
    <x v="0"/>
    <x v="0"/>
    <s v=""/>
    <x v="64"/>
    <x v="64"/>
    <x v="3"/>
    <x v="13"/>
    <x v="19"/>
    <x v="19"/>
    <x v="9"/>
    <n v="0"/>
    <x v="15"/>
    <x v="1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65"/>
    <x v="6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5"/>
    <x v="0"/>
    <x v="0"/>
    <x v="29"/>
  </r>
  <r>
    <x v="0"/>
    <x v="0"/>
    <s v=""/>
    <x v="66"/>
    <x v="66"/>
    <x v="3"/>
    <x v="0"/>
    <x v="20"/>
    <x v="20"/>
    <x v="9"/>
    <n v="0"/>
    <x v="9"/>
    <x v="1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67"/>
    <x v="6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7"/>
    <x v="0"/>
    <x v="0"/>
    <x v="30"/>
  </r>
  <r>
    <x v="0"/>
    <x v="0"/>
    <s v=""/>
    <x v="68"/>
    <x v="68"/>
    <x v="2"/>
    <x v="0"/>
    <x v="0"/>
    <x v="0"/>
    <x v="0"/>
    <n v="0"/>
    <x v="13"/>
    <x v="0"/>
    <n v="0"/>
    <n v="0"/>
    <n v="0"/>
    <n v="0"/>
    <n v="0"/>
    <n v="0"/>
    <n v="0"/>
    <n v="0"/>
    <n v="0"/>
    <n v="0"/>
    <n v="0"/>
    <s v="640000000000000000000000000000"/>
    <x v="2"/>
    <x v="1"/>
    <x v="0"/>
    <x v="1"/>
  </r>
  <r>
    <x v="0"/>
    <x v="0"/>
    <s v=""/>
    <x v="69"/>
    <x v="6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5"/>
    <x v="0"/>
    <x v="0"/>
    <x v="31"/>
  </r>
  <r>
    <x v="0"/>
    <x v="0"/>
    <s v=""/>
    <x v="70"/>
    <x v="70"/>
    <x v="3"/>
    <x v="0"/>
    <x v="20"/>
    <x v="20"/>
    <x v="9"/>
    <n v="0"/>
    <x v="15"/>
    <x v="1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70"/>
    <x v="7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5"/>
    <x v="0"/>
    <x v="0"/>
    <x v="32"/>
  </r>
  <r>
    <x v="0"/>
    <x v="0"/>
    <s v=""/>
    <x v="71"/>
    <x v="71"/>
    <x v="3"/>
    <x v="15"/>
    <x v="21"/>
    <x v="21"/>
    <x v="9"/>
    <n v="0"/>
    <x v="9"/>
    <x v="1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72"/>
    <x v="72"/>
    <x v="3"/>
    <x v="16"/>
    <x v="22"/>
    <x v="20"/>
    <x v="9"/>
    <n v="0"/>
    <x v="19"/>
    <x v="1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73"/>
    <x v="73"/>
    <x v="2"/>
    <x v="0"/>
    <x v="0"/>
    <x v="0"/>
    <x v="0"/>
    <n v="0"/>
    <x v="16"/>
    <x v="0"/>
    <n v="0"/>
    <n v="0"/>
    <n v="0"/>
    <n v="0"/>
    <n v="0"/>
    <n v="0"/>
    <n v="0"/>
    <n v="0"/>
    <n v="0"/>
    <n v="0"/>
    <n v="0"/>
    <s v="060000000000000000000000000000"/>
    <x v="2"/>
    <x v="1"/>
    <x v="0"/>
    <x v="1"/>
  </r>
  <r>
    <x v="0"/>
    <x v="0"/>
    <s v=""/>
    <x v="74"/>
    <x v="74"/>
    <x v="3"/>
    <x v="17"/>
    <x v="23"/>
    <x v="22"/>
    <x v="10"/>
    <n v="0"/>
    <x v="14"/>
    <x v="1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75"/>
    <x v="7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5"/>
    <x v="0"/>
    <x v="0"/>
    <x v="33"/>
  </r>
  <r>
    <x v="0"/>
    <x v="0"/>
    <s v=""/>
    <x v="76"/>
    <x v="7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5"/>
    <x v="0"/>
    <x v="0"/>
    <x v="34"/>
  </r>
  <r>
    <x v="0"/>
    <x v="0"/>
    <s v=""/>
    <x v="77"/>
    <x v="77"/>
    <x v="3"/>
    <x v="7"/>
    <x v="24"/>
    <x v="23"/>
    <x v="11"/>
    <n v="0"/>
    <x v="14"/>
    <x v="1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78"/>
    <x v="78"/>
    <x v="3"/>
    <x v="7"/>
    <x v="25"/>
    <x v="24"/>
    <x v="12"/>
    <n v="0"/>
    <x v="14"/>
    <x v="1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79"/>
    <x v="79"/>
    <x v="3"/>
    <x v="18"/>
    <x v="26"/>
    <x v="25"/>
    <x v="10"/>
    <n v="0"/>
    <x v="15"/>
    <x v="1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80"/>
    <x v="80"/>
    <x v="3"/>
    <x v="19"/>
    <x v="27"/>
    <x v="26"/>
    <x v="10"/>
    <n v="0"/>
    <x v="14"/>
    <x v="1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81"/>
    <x v="81"/>
    <x v="3"/>
    <x v="18"/>
    <x v="28"/>
    <x v="27"/>
    <x v="13"/>
    <n v="0"/>
    <x v="15"/>
    <x v="1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82"/>
    <x v="82"/>
    <x v="3"/>
    <x v="7"/>
    <x v="29"/>
    <x v="28"/>
    <x v="13"/>
    <n v="0"/>
    <x v="14"/>
    <x v="1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83"/>
    <x v="83"/>
    <x v="3"/>
    <x v="0"/>
    <x v="30"/>
    <x v="29"/>
    <x v="13"/>
    <n v="0"/>
    <x v="9"/>
    <x v="1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84"/>
    <x v="84"/>
    <x v="3"/>
    <x v="0"/>
    <x v="30"/>
    <x v="29"/>
    <x v="13"/>
    <n v="0"/>
    <x v="19"/>
    <x v="1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85"/>
    <x v="8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6"/>
    <x v="0"/>
    <x v="0"/>
    <x v="35"/>
  </r>
  <r>
    <x v="0"/>
    <x v="0"/>
    <s v=""/>
    <x v="86"/>
    <x v="8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5"/>
    <x v="0"/>
    <x v="0"/>
    <x v="36"/>
  </r>
  <r>
    <x v="0"/>
    <x v="0"/>
    <s v=""/>
    <x v="87"/>
    <x v="87"/>
    <x v="3"/>
    <x v="14"/>
    <x v="30"/>
    <x v="30"/>
    <x v="13"/>
    <n v="0"/>
    <x v="9"/>
    <x v="1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88"/>
    <x v="88"/>
    <x v="3"/>
    <x v="20"/>
    <x v="31"/>
    <x v="31"/>
    <x v="13"/>
    <n v="0"/>
    <x v="14"/>
    <x v="1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89"/>
    <x v="89"/>
    <x v="3"/>
    <x v="20"/>
    <x v="32"/>
    <x v="32"/>
    <x v="13"/>
    <n v="0"/>
    <x v="15"/>
    <x v="1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90"/>
    <x v="9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5"/>
    <x v="0"/>
    <x v="0"/>
    <x v="37"/>
  </r>
  <r>
    <x v="0"/>
    <x v="0"/>
    <s v=""/>
    <x v="91"/>
    <x v="91"/>
    <x v="3"/>
    <x v="21"/>
    <x v="33"/>
    <x v="33"/>
    <x v="13"/>
    <n v="0"/>
    <x v="14"/>
    <x v="1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92"/>
    <x v="92"/>
    <x v="3"/>
    <x v="19"/>
    <x v="34"/>
    <x v="34"/>
    <x v="13"/>
    <n v="0"/>
    <x v="15"/>
    <x v="1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93"/>
    <x v="93"/>
    <x v="3"/>
    <x v="0"/>
    <x v="35"/>
    <x v="35"/>
    <x v="13"/>
    <n v="0"/>
    <x v="9"/>
    <x v="1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94"/>
    <x v="94"/>
    <x v="3"/>
    <x v="0"/>
    <x v="35"/>
    <x v="35"/>
    <x v="13"/>
    <n v="0"/>
    <x v="19"/>
    <x v="1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95"/>
    <x v="95"/>
    <x v="3"/>
    <x v="1"/>
    <x v="36"/>
    <x v="36"/>
    <x v="13"/>
    <n v="0"/>
    <x v="9"/>
    <x v="1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96"/>
    <x v="9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5"/>
    <x v="0"/>
    <x v="0"/>
    <x v="38"/>
  </r>
  <r>
    <x v="0"/>
    <x v="0"/>
    <s v=""/>
    <x v="97"/>
    <x v="97"/>
    <x v="3"/>
    <x v="12"/>
    <x v="37"/>
    <x v="37"/>
    <x v="14"/>
    <n v="0"/>
    <x v="15"/>
    <x v="1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98"/>
    <x v="9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5"/>
    <x v="0"/>
    <x v="0"/>
    <x v="39"/>
  </r>
  <r>
    <x v="0"/>
    <x v="0"/>
    <s v=""/>
    <x v="99"/>
    <x v="9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8"/>
    <x v="0"/>
    <x v="0"/>
    <x v="0"/>
  </r>
  <r>
    <x v="0"/>
    <x v="0"/>
    <s v=""/>
    <x v="100"/>
    <x v="100"/>
    <x v="3"/>
    <x v="22"/>
    <x v="38"/>
    <x v="38"/>
    <x v="13"/>
    <n v="0"/>
    <x v="15"/>
    <x v="1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01"/>
    <x v="101"/>
    <x v="3"/>
    <x v="0"/>
    <x v="39"/>
    <x v="37"/>
    <x v="13"/>
    <n v="0"/>
    <x v="9"/>
    <x v="1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02"/>
    <x v="102"/>
    <x v="2"/>
    <x v="0"/>
    <x v="0"/>
    <x v="0"/>
    <x v="0"/>
    <n v="0"/>
    <x v="20"/>
    <x v="0"/>
    <n v="0"/>
    <n v="0"/>
    <n v="0"/>
    <n v="0"/>
    <n v="0"/>
    <n v="0"/>
    <n v="0"/>
    <n v="0"/>
    <n v="0"/>
    <n v="0"/>
    <n v="0"/>
    <s v="E7FFF7FF0500E9FF00000000000000"/>
    <x v="2"/>
    <x v="1"/>
    <x v="0"/>
    <x v="1"/>
  </r>
  <r>
    <x v="0"/>
    <x v="0"/>
    <s v=""/>
    <x v="103"/>
    <x v="103"/>
    <x v="2"/>
    <x v="0"/>
    <x v="0"/>
    <x v="0"/>
    <x v="0"/>
    <n v="0"/>
    <x v="21"/>
    <x v="0"/>
    <n v="0"/>
    <n v="0"/>
    <n v="0"/>
    <n v="0"/>
    <n v="0"/>
    <n v="0"/>
    <n v="0"/>
    <n v="0"/>
    <n v="0"/>
    <n v="0"/>
    <n v="0"/>
    <s v="E7FFFFFF0000000000000000000000"/>
    <x v="2"/>
    <x v="1"/>
    <x v="0"/>
    <x v="1"/>
  </r>
  <r>
    <x v="0"/>
    <x v="0"/>
    <s v=""/>
    <x v="103"/>
    <x v="103"/>
    <x v="2"/>
    <x v="0"/>
    <x v="0"/>
    <x v="0"/>
    <x v="0"/>
    <n v="0"/>
    <x v="22"/>
    <x v="0"/>
    <n v="0"/>
    <n v="0"/>
    <n v="0"/>
    <n v="0"/>
    <n v="0"/>
    <n v="0"/>
    <n v="0"/>
    <n v="0"/>
    <n v="0"/>
    <n v="0"/>
    <n v="0"/>
    <s v="3F0000000000000000000000000000"/>
    <x v="2"/>
    <x v="1"/>
    <x v="0"/>
    <x v="1"/>
  </r>
  <r>
    <x v="0"/>
    <x v="0"/>
    <s v=""/>
    <x v="104"/>
    <x v="104"/>
    <x v="2"/>
    <x v="0"/>
    <x v="0"/>
    <x v="0"/>
    <x v="0"/>
    <n v="0"/>
    <x v="20"/>
    <x v="0"/>
    <n v="0"/>
    <n v="0"/>
    <n v="0"/>
    <n v="0"/>
    <n v="0"/>
    <n v="0"/>
    <n v="0"/>
    <n v="0"/>
    <n v="0"/>
    <n v="0"/>
    <n v="0"/>
    <s v="000000000700F4FF00000000000000"/>
    <x v="2"/>
    <x v="1"/>
    <x v="0"/>
    <x v="1"/>
  </r>
  <r>
    <x v="0"/>
    <x v="0"/>
    <s v=""/>
    <x v="105"/>
    <x v="105"/>
    <x v="2"/>
    <x v="0"/>
    <x v="0"/>
    <x v="0"/>
    <x v="0"/>
    <n v="0"/>
    <x v="22"/>
    <x v="0"/>
    <n v="0"/>
    <n v="0"/>
    <n v="0"/>
    <n v="0"/>
    <n v="0"/>
    <n v="0"/>
    <n v="0"/>
    <n v="0"/>
    <n v="0"/>
    <n v="0"/>
    <n v="0"/>
    <s v="160000000000000000000000000000"/>
    <x v="2"/>
    <x v="1"/>
    <x v="0"/>
    <x v="1"/>
  </r>
  <r>
    <x v="0"/>
    <x v="0"/>
    <s v=""/>
    <x v="106"/>
    <x v="106"/>
    <x v="3"/>
    <x v="1"/>
    <x v="40"/>
    <x v="39"/>
    <x v="13"/>
    <n v="0"/>
    <x v="9"/>
    <x v="1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07"/>
    <x v="107"/>
    <x v="3"/>
    <x v="0"/>
    <x v="40"/>
    <x v="40"/>
    <x v="13"/>
    <n v="0"/>
    <x v="9"/>
    <x v="1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08"/>
    <x v="108"/>
    <x v="3"/>
    <x v="14"/>
    <x v="40"/>
    <x v="40"/>
    <x v="13"/>
    <n v="0"/>
    <x v="9"/>
    <x v="1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09"/>
    <x v="109"/>
    <x v="3"/>
    <x v="0"/>
    <x v="40"/>
    <x v="39"/>
    <x v="13"/>
    <n v="0"/>
    <x v="9"/>
    <x v="1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10"/>
    <x v="110"/>
    <x v="3"/>
    <x v="14"/>
    <x v="40"/>
    <x v="39"/>
    <x v="13"/>
    <n v="0"/>
    <x v="9"/>
    <x v="1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11"/>
    <x v="111"/>
    <x v="3"/>
    <x v="0"/>
    <x v="40"/>
    <x v="39"/>
    <x v="13"/>
    <n v="0"/>
    <x v="9"/>
    <x v="1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12"/>
    <x v="112"/>
    <x v="3"/>
    <x v="0"/>
    <x v="40"/>
    <x v="40"/>
    <x v="13"/>
    <n v="0"/>
    <x v="19"/>
    <x v="1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13"/>
    <x v="113"/>
    <x v="2"/>
    <x v="0"/>
    <x v="0"/>
    <x v="0"/>
    <x v="0"/>
    <n v="0"/>
    <x v="20"/>
    <x v="0"/>
    <n v="0"/>
    <n v="0"/>
    <n v="0"/>
    <n v="0"/>
    <n v="0"/>
    <n v="0"/>
    <n v="0"/>
    <n v="0"/>
    <n v="0"/>
    <n v="0"/>
    <n v="0"/>
    <s v="0000E9FFD6FFFCFF00000000000000"/>
    <x v="2"/>
    <x v="1"/>
    <x v="0"/>
    <x v="1"/>
  </r>
  <r>
    <x v="0"/>
    <x v="0"/>
    <s v=""/>
    <x v="114"/>
    <x v="114"/>
    <x v="2"/>
    <x v="0"/>
    <x v="0"/>
    <x v="0"/>
    <x v="0"/>
    <n v="0"/>
    <x v="22"/>
    <x v="0"/>
    <n v="0"/>
    <n v="0"/>
    <n v="0"/>
    <n v="0"/>
    <n v="0"/>
    <n v="0"/>
    <n v="0"/>
    <n v="0"/>
    <n v="0"/>
    <n v="0"/>
    <n v="0"/>
    <s v="FBFFFFFF0000000000000000000000"/>
    <x v="2"/>
    <x v="1"/>
    <x v="0"/>
    <x v="1"/>
  </r>
  <r>
    <x v="0"/>
    <x v="0"/>
    <s v=""/>
    <x v="115"/>
    <x v="115"/>
    <x v="2"/>
    <x v="0"/>
    <x v="0"/>
    <x v="0"/>
    <x v="0"/>
    <n v="0"/>
    <x v="20"/>
    <x v="0"/>
    <n v="0"/>
    <n v="0"/>
    <n v="0"/>
    <n v="0"/>
    <n v="0"/>
    <n v="0"/>
    <n v="0"/>
    <n v="0"/>
    <n v="0"/>
    <n v="0"/>
    <n v="0"/>
    <s v="19000000DFFFE4FF00000000000000"/>
    <x v="2"/>
    <x v="1"/>
    <x v="0"/>
    <x v="1"/>
  </r>
  <r>
    <x v="0"/>
    <x v="0"/>
    <s v=""/>
    <x v="116"/>
    <x v="116"/>
    <x v="2"/>
    <x v="0"/>
    <x v="0"/>
    <x v="0"/>
    <x v="0"/>
    <n v="0"/>
    <x v="22"/>
    <x v="0"/>
    <n v="0"/>
    <n v="0"/>
    <n v="0"/>
    <n v="0"/>
    <n v="0"/>
    <n v="0"/>
    <n v="0"/>
    <n v="0"/>
    <n v="0"/>
    <n v="0"/>
    <n v="0"/>
    <s v="D1FFFFFF0000000000000000000000"/>
    <x v="2"/>
    <x v="1"/>
    <x v="0"/>
    <x v="1"/>
  </r>
  <r>
    <x v="0"/>
    <x v="0"/>
    <s v=""/>
    <x v="117"/>
    <x v="117"/>
    <x v="2"/>
    <x v="0"/>
    <x v="0"/>
    <x v="0"/>
    <x v="0"/>
    <n v="0"/>
    <x v="20"/>
    <x v="0"/>
    <n v="0"/>
    <n v="0"/>
    <n v="0"/>
    <n v="0"/>
    <n v="0"/>
    <n v="0"/>
    <n v="0"/>
    <n v="0"/>
    <n v="0"/>
    <n v="0"/>
    <n v="0"/>
    <s v="E8FFFBFFF7FFECFF00000000000000"/>
    <x v="2"/>
    <x v="1"/>
    <x v="0"/>
    <x v="1"/>
  </r>
  <r>
    <x v="0"/>
    <x v="0"/>
    <s v=""/>
    <x v="118"/>
    <x v="118"/>
    <x v="2"/>
    <x v="0"/>
    <x v="0"/>
    <x v="0"/>
    <x v="0"/>
    <n v="0"/>
    <x v="22"/>
    <x v="0"/>
    <n v="0"/>
    <n v="0"/>
    <n v="0"/>
    <n v="0"/>
    <n v="0"/>
    <n v="0"/>
    <n v="0"/>
    <n v="0"/>
    <n v="0"/>
    <n v="0"/>
    <n v="0"/>
    <s v="0C0000000000000000000000000000"/>
    <x v="2"/>
    <x v="1"/>
    <x v="0"/>
    <x v="1"/>
  </r>
  <r>
    <x v="0"/>
    <x v="0"/>
    <s v=""/>
    <x v="119"/>
    <x v="119"/>
    <x v="2"/>
    <x v="0"/>
    <x v="0"/>
    <x v="0"/>
    <x v="0"/>
    <n v="0"/>
    <x v="20"/>
    <x v="0"/>
    <n v="0"/>
    <n v="0"/>
    <n v="0"/>
    <n v="0"/>
    <n v="0"/>
    <n v="0"/>
    <n v="0"/>
    <n v="0"/>
    <n v="0"/>
    <n v="0"/>
    <n v="0"/>
    <s v="1D00F1FF0000FEFF00000000000000"/>
    <x v="2"/>
    <x v="1"/>
    <x v="0"/>
    <x v="1"/>
  </r>
  <r>
    <x v="0"/>
    <x v="0"/>
    <s v=""/>
    <x v="120"/>
    <x v="120"/>
    <x v="2"/>
    <x v="0"/>
    <x v="0"/>
    <x v="0"/>
    <x v="0"/>
    <n v="0"/>
    <x v="23"/>
    <x v="0"/>
    <n v="0"/>
    <n v="0"/>
    <n v="0"/>
    <n v="0"/>
    <n v="0"/>
    <n v="0"/>
    <n v="0"/>
    <n v="0"/>
    <n v="0"/>
    <n v="0"/>
    <n v="0"/>
    <s v="030000000000000000000000000000"/>
    <x v="2"/>
    <x v="1"/>
    <x v="0"/>
    <x v="1"/>
  </r>
  <r>
    <x v="0"/>
    <x v="0"/>
    <s v=""/>
    <x v="121"/>
    <x v="121"/>
    <x v="3"/>
    <x v="14"/>
    <x v="40"/>
    <x v="38"/>
    <x v="13"/>
    <n v="0"/>
    <x v="9"/>
    <x v="1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22"/>
    <x v="122"/>
    <x v="3"/>
    <x v="0"/>
    <x v="40"/>
    <x v="40"/>
    <x v="13"/>
    <n v="0"/>
    <x v="9"/>
    <x v="1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23"/>
    <x v="123"/>
    <x v="3"/>
    <x v="14"/>
    <x v="39"/>
    <x v="41"/>
    <x v="13"/>
    <n v="0"/>
    <x v="9"/>
    <x v="1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24"/>
    <x v="124"/>
    <x v="2"/>
    <x v="0"/>
    <x v="0"/>
    <x v="0"/>
    <x v="0"/>
    <n v="0"/>
    <x v="24"/>
    <x v="0"/>
    <n v="0"/>
    <n v="0"/>
    <n v="0"/>
    <n v="0"/>
    <n v="0"/>
    <n v="0"/>
    <n v="0"/>
    <n v="0"/>
    <n v="0"/>
    <n v="0"/>
    <n v="0"/>
    <s v="000005000000000000000000000000"/>
    <x v="2"/>
    <x v="1"/>
    <x v="0"/>
    <x v="1"/>
  </r>
  <r>
    <x v="0"/>
    <x v="0"/>
    <s v=""/>
    <x v="124"/>
    <x v="124"/>
    <x v="3"/>
    <x v="0"/>
    <x v="39"/>
    <x v="41"/>
    <x v="13"/>
    <n v="0"/>
    <x v="9"/>
    <x v="1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25"/>
    <x v="125"/>
    <x v="3"/>
    <x v="1"/>
    <x v="39"/>
    <x v="41"/>
    <x v="13"/>
    <n v="0"/>
    <x v="9"/>
    <x v="1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26"/>
    <x v="126"/>
    <x v="3"/>
    <x v="0"/>
    <x v="39"/>
    <x v="39"/>
    <x v="13"/>
    <n v="0"/>
    <x v="9"/>
    <x v="1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27"/>
    <x v="127"/>
    <x v="3"/>
    <x v="1"/>
    <x v="39"/>
    <x v="39"/>
    <x v="13"/>
    <n v="0"/>
    <x v="9"/>
    <x v="1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28"/>
    <x v="128"/>
    <x v="3"/>
    <x v="0"/>
    <x v="39"/>
    <x v="39"/>
    <x v="13"/>
    <n v="0"/>
    <x v="9"/>
    <x v="1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29"/>
    <x v="129"/>
    <x v="2"/>
    <x v="0"/>
    <x v="0"/>
    <x v="0"/>
    <x v="0"/>
    <n v="0"/>
    <x v="13"/>
    <x v="0"/>
    <n v="0"/>
    <n v="0"/>
    <n v="0"/>
    <n v="0"/>
    <n v="0"/>
    <n v="0"/>
    <n v="0"/>
    <n v="0"/>
    <n v="0"/>
    <n v="0"/>
    <n v="0"/>
    <s v="100000000000000000000000000000"/>
    <x v="2"/>
    <x v="1"/>
    <x v="0"/>
    <x v="1"/>
  </r>
  <r>
    <x v="0"/>
    <x v="0"/>
    <s v=""/>
    <x v="130"/>
    <x v="13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4"/>
    <x v="0"/>
    <x v="0"/>
    <x v="40"/>
  </r>
  <r>
    <x v="0"/>
    <x v="0"/>
    <s v=""/>
    <x v="130"/>
    <x v="130"/>
    <x v="3"/>
    <x v="0"/>
    <x v="38"/>
    <x v="41"/>
    <x v="13"/>
    <n v="0"/>
    <x v="25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31"/>
    <x v="13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7"/>
    <x v="0"/>
    <x v="0"/>
    <x v="41"/>
  </r>
  <r>
    <x v="0"/>
    <x v="0"/>
    <s v=""/>
    <x v="131"/>
    <x v="13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9"/>
    <x v="0"/>
    <x v="0"/>
    <x v="42"/>
  </r>
  <r>
    <x v="0"/>
    <x v="0"/>
    <s v=""/>
    <x v="131"/>
    <x v="131"/>
    <x v="2"/>
    <x v="0"/>
    <x v="0"/>
    <x v="0"/>
    <x v="0"/>
    <n v="0"/>
    <x v="26"/>
    <x v="0"/>
    <n v="0"/>
    <n v="0"/>
    <n v="0"/>
    <n v="0"/>
    <n v="0"/>
    <n v="0"/>
    <n v="0"/>
    <n v="0"/>
    <n v="0"/>
    <n v="0"/>
    <n v="0"/>
    <s v="022200000047030000000000000000"/>
    <x v="2"/>
    <x v="1"/>
    <x v="0"/>
    <x v="1"/>
  </r>
  <r>
    <x v="0"/>
    <x v="0"/>
    <s v=""/>
    <x v="131"/>
    <x v="131"/>
    <x v="2"/>
    <x v="0"/>
    <x v="0"/>
    <x v="0"/>
    <x v="0"/>
    <n v="0"/>
    <x v="27"/>
    <x v="0"/>
    <n v="0"/>
    <n v="0"/>
    <n v="0"/>
    <n v="0"/>
    <n v="0"/>
    <n v="0"/>
    <n v="0"/>
    <n v="0"/>
    <n v="0"/>
    <n v="0"/>
    <n v="0"/>
    <s v="750C00000000000000000000000000"/>
    <x v="2"/>
    <x v="1"/>
    <x v="0"/>
    <x v="1"/>
  </r>
  <r>
    <x v="0"/>
    <x v="0"/>
    <s v=""/>
    <x v="131"/>
    <x v="131"/>
    <x v="2"/>
    <x v="0"/>
    <x v="0"/>
    <x v="0"/>
    <x v="0"/>
    <n v="0"/>
    <x v="28"/>
    <x v="0"/>
    <n v="0"/>
    <n v="0"/>
    <n v="0"/>
    <n v="0"/>
    <n v="0"/>
    <n v="0"/>
    <n v="0"/>
    <n v="0"/>
    <n v="0"/>
    <n v="0"/>
    <n v="0"/>
    <s v="020000000000000000000000000000"/>
    <x v="2"/>
    <x v="1"/>
    <x v="0"/>
    <x v="1"/>
  </r>
  <r>
    <x v="0"/>
    <x v="0"/>
    <s v=""/>
    <x v="131"/>
    <x v="13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0"/>
    <x v="0"/>
    <x v="0"/>
    <x v="43"/>
  </r>
  <r>
    <x v="0"/>
    <x v="0"/>
    <s v=""/>
    <x v="131"/>
    <x v="13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1"/>
    <x v="0"/>
    <x v="0"/>
    <x v="42"/>
  </r>
  <r>
    <x v="0"/>
    <x v="0"/>
    <s v=""/>
    <x v="131"/>
    <x v="13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43"/>
  </r>
  <r>
    <x v="0"/>
    <x v="0"/>
    <s v=""/>
    <x v="132"/>
    <x v="13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3"/>
    <x v="0"/>
    <x v="0"/>
    <x v="44"/>
  </r>
  <r>
    <x v="0"/>
    <x v="0"/>
    <s v=""/>
    <x v="132"/>
    <x v="132"/>
    <x v="2"/>
    <x v="0"/>
    <x v="0"/>
    <x v="0"/>
    <x v="0"/>
    <n v="0"/>
    <x v="29"/>
    <x v="0"/>
    <n v="0"/>
    <n v="0"/>
    <n v="0"/>
    <n v="0"/>
    <n v="0"/>
    <n v="0"/>
    <n v="0"/>
    <n v="0"/>
    <n v="0"/>
    <n v="0"/>
    <n v="0"/>
    <s v="530BFFBF0000000000000000000000"/>
    <x v="2"/>
    <x v="1"/>
    <x v="0"/>
    <x v="1"/>
  </r>
  <r>
    <x v="0"/>
    <x v="0"/>
    <s v=""/>
    <x v="132"/>
    <x v="13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4"/>
    <x v="0"/>
    <x v="0"/>
    <x v="40"/>
  </r>
  <r>
    <x v="0"/>
    <x v="0"/>
    <s v=""/>
    <x v="132"/>
    <x v="13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45"/>
  </r>
  <r>
    <x v="0"/>
    <x v="0"/>
    <s v=""/>
    <x v="132"/>
    <x v="13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6"/>
    <x v="0"/>
    <x v="0"/>
    <x v="45"/>
  </r>
  <r>
    <x v="0"/>
    <x v="0"/>
    <s v=""/>
    <x v="132"/>
    <x v="13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7"/>
    <x v="0"/>
    <x v="0"/>
    <x v="46"/>
  </r>
  <r>
    <x v="0"/>
    <x v="0"/>
    <s v=""/>
    <x v="132"/>
    <x v="13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5"/>
    <x v="0"/>
    <x v="0"/>
    <x v="47"/>
  </r>
  <r>
    <x v="0"/>
    <x v="0"/>
    <s v=""/>
    <x v="133"/>
    <x v="133"/>
    <x v="2"/>
    <x v="0"/>
    <x v="0"/>
    <x v="0"/>
    <x v="0"/>
    <n v="0"/>
    <x v="30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134"/>
    <x v="13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7"/>
    <x v="0"/>
    <x v="0"/>
    <x v="48"/>
  </r>
  <r>
    <x v="0"/>
    <x v="0"/>
    <s v=""/>
    <x v="135"/>
    <x v="135"/>
    <x v="2"/>
    <x v="0"/>
    <x v="0"/>
    <x v="0"/>
    <x v="0"/>
    <n v="0"/>
    <x v="13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136"/>
    <x v="136"/>
    <x v="2"/>
    <x v="0"/>
    <x v="0"/>
    <x v="0"/>
    <x v="0"/>
    <n v="0"/>
    <x v="13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137"/>
    <x v="13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7"/>
    <x v="0"/>
    <x v="0"/>
    <x v="49"/>
  </r>
  <r>
    <x v="0"/>
    <x v="0"/>
    <s v=""/>
    <x v="138"/>
    <x v="138"/>
    <x v="2"/>
    <x v="0"/>
    <x v="0"/>
    <x v="0"/>
    <x v="0"/>
    <n v="0"/>
    <x v="31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138"/>
    <x v="138"/>
    <x v="2"/>
    <x v="0"/>
    <x v="0"/>
    <x v="0"/>
    <x v="0"/>
    <n v="0"/>
    <x v="32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139"/>
    <x v="139"/>
    <x v="2"/>
    <x v="0"/>
    <x v="0"/>
    <x v="0"/>
    <x v="0"/>
    <n v="0"/>
    <x v="33"/>
    <x v="0"/>
    <n v="0"/>
    <n v="0"/>
    <n v="0"/>
    <n v="0"/>
    <n v="0"/>
    <n v="0"/>
    <n v="0"/>
    <n v="0"/>
    <n v="0"/>
    <n v="0"/>
    <n v="0"/>
    <s v="696E7465726E650000000000000000"/>
    <x v="2"/>
    <x v="1"/>
    <x v="0"/>
    <x v="1"/>
  </r>
  <r>
    <x v="0"/>
    <x v="0"/>
    <s v=""/>
    <x v="140"/>
    <x v="140"/>
    <x v="3"/>
    <x v="0"/>
    <x v="39"/>
    <x v="41"/>
    <x v="13"/>
    <n v="0"/>
    <x v="34"/>
    <x v="2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140"/>
    <x v="140"/>
    <x v="2"/>
    <x v="0"/>
    <x v="0"/>
    <x v="0"/>
    <x v="0"/>
    <n v="0"/>
    <x v="35"/>
    <x v="0"/>
    <n v="0"/>
    <n v="0"/>
    <n v="0"/>
    <n v="0"/>
    <n v="0"/>
    <n v="0"/>
    <n v="0"/>
    <n v="0"/>
    <n v="0"/>
    <n v="0"/>
    <n v="0"/>
    <s v="4E545420444F800000000000000000"/>
    <x v="2"/>
    <x v="1"/>
    <x v="0"/>
    <x v="1"/>
  </r>
  <r>
    <x v="0"/>
    <x v="0"/>
    <s v=""/>
    <x v="141"/>
    <x v="14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7"/>
    <x v="0"/>
    <x v="0"/>
    <x v="50"/>
  </r>
  <r>
    <x v="0"/>
    <x v="0"/>
    <s v=""/>
    <x v="142"/>
    <x v="142"/>
    <x v="2"/>
    <x v="0"/>
    <x v="0"/>
    <x v="0"/>
    <x v="0"/>
    <n v="0"/>
    <x v="31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143"/>
    <x v="14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7"/>
    <x v="0"/>
    <x v="0"/>
    <x v="49"/>
  </r>
  <r>
    <x v="0"/>
    <x v="0"/>
    <s v=""/>
    <x v="144"/>
    <x v="14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"/>
    <x v="0"/>
    <x v="0"/>
    <x v="51"/>
  </r>
  <r>
    <x v="0"/>
    <x v="0"/>
    <s v=""/>
    <x v="145"/>
    <x v="145"/>
    <x v="2"/>
    <x v="0"/>
    <x v="0"/>
    <x v="0"/>
    <x v="0"/>
    <n v="0"/>
    <x v="13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145"/>
    <x v="14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"/>
    <x v="0"/>
    <x v="0"/>
    <x v="51"/>
  </r>
  <r>
    <x v="0"/>
    <x v="0"/>
    <s v=""/>
    <x v="145"/>
    <x v="14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"/>
    <x v="0"/>
    <x v="0"/>
    <x v="52"/>
  </r>
  <r>
    <x v="0"/>
    <x v="0"/>
    <s v=""/>
    <x v="146"/>
    <x v="14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"/>
    <x v="0"/>
    <x v="0"/>
    <x v="53"/>
  </r>
  <r>
    <x v="0"/>
    <x v="0"/>
    <s v=""/>
    <x v="146"/>
    <x v="14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"/>
    <x v="0"/>
    <x v="0"/>
    <x v="54"/>
  </r>
  <r>
    <x v="0"/>
    <x v="0"/>
    <s v=""/>
    <x v="146"/>
    <x v="146"/>
    <x v="2"/>
    <x v="0"/>
    <x v="0"/>
    <x v="0"/>
    <x v="0"/>
    <n v="0"/>
    <x v="13"/>
    <x v="0"/>
    <n v="0"/>
    <n v="0"/>
    <n v="0"/>
    <n v="0"/>
    <n v="0"/>
    <n v="0"/>
    <n v="0"/>
    <n v="0"/>
    <n v="0"/>
    <n v="0"/>
    <n v="0"/>
    <s v="440000000000000000000000000000"/>
    <x v="2"/>
    <x v="1"/>
    <x v="0"/>
    <x v="1"/>
  </r>
  <r>
    <x v="0"/>
    <x v="0"/>
    <s v=""/>
    <x v="146"/>
    <x v="14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"/>
    <x v="0"/>
    <x v="0"/>
    <x v="55"/>
  </r>
  <r>
    <x v="0"/>
    <x v="0"/>
    <s v=""/>
    <x v="147"/>
    <x v="14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"/>
    <x v="0"/>
    <x v="0"/>
    <x v="56"/>
  </r>
  <r>
    <x v="0"/>
    <x v="0"/>
    <s v=""/>
    <x v="147"/>
    <x v="14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5"/>
    <x v="0"/>
    <x v="0"/>
    <x v="47"/>
  </r>
  <r>
    <x v="0"/>
    <x v="0"/>
    <s v=""/>
    <x v="147"/>
    <x v="14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45"/>
  </r>
  <r>
    <x v="0"/>
    <x v="0"/>
    <s v=""/>
    <x v="147"/>
    <x v="147"/>
    <x v="2"/>
    <x v="0"/>
    <x v="0"/>
    <x v="0"/>
    <x v="0"/>
    <n v="0"/>
    <x v="36"/>
    <x v="0"/>
    <n v="0"/>
    <n v="0"/>
    <n v="0"/>
    <n v="0"/>
    <n v="0"/>
    <n v="0"/>
    <n v="0"/>
    <n v="0"/>
    <n v="0"/>
    <n v="0"/>
    <n v="0"/>
    <s v="001400000000000000000000000000"/>
    <x v="2"/>
    <x v="1"/>
    <x v="0"/>
    <x v="1"/>
  </r>
  <r>
    <x v="0"/>
    <x v="0"/>
    <s v=""/>
    <x v="147"/>
    <x v="14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6"/>
    <x v="0"/>
    <x v="0"/>
    <x v="45"/>
  </r>
  <r>
    <x v="0"/>
    <x v="0"/>
    <s v=""/>
    <x v="147"/>
    <x v="14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3"/>
    <x v="0"/>
    <x v="0"/>
    <x v="57"/>
  </r>
  <r>
    <x v="0"/>
    <x v="0"/>
    <s v=""/>
    <x v="147"/>
    <x v="14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8"/>
    <x v="0"/>
    <x v="0"/>
    <x v="0"/>
  </r>
  <r>
    <x v="0"/>
    <x v="0"/>
    <s v=""/>
    <x v="147"/>
    <x v="14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9"/>
    <x v="0"/>
    <x v="0"/>
    <x v="58"/>
  </r>
  <r>
    <x v="0"/>
    <x v="0"/>
    <s v=""/>
    <x v="147"/>
    <x v="147"/>
    <x v="2"/>
    <x v="0"/>
    <x v="0"/>
    <x v="0"/>
    <x v="0"/>
    <n v="0"/>
    <x v="32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147"/>
    <x v="147"/>
    <x v="2"/>
    <x v="0"/>
    <x v="0"/>
    <x v="0"/>
    <x v="0"/>
    <n v="0"/>
    <x v="31"/>
    <x v="0"/>
    <n v="0"/>
    <n v="0"/>
    <n v="0"/>
    <n v="0"/>
    <n v="0"/>
    <n v="0"/>
    <n v="0"/>
    <n v="0"/>
    <n v="0"/>
    <n v="0"/>
    <n v="0"/>
    <s v="010000000000000000000000000000"/>
    <x v="2"/>
    <x v="1"/>
    <x v="0"/>
    <x v="1"/>
  </r>
  <r>
    <x v="0"/>
    <x v="0"/>
    <s v=""/>
    <x v="147"/>
    <x v="147"/>
    <x v="2"/>
    <x v="0"/>
    <x v="0"/>
    <x v="0"/>
    <x v="0"/>
    <n v="0"/>
    <x v="27"/>
    <x v="0"/>
    <n v="0"/>
    <n v="0"/>
    <n v="0"/>
    <n v="0"/>
    <n v="0"/>
    <n v="0"/>
    <n v="0"/>
    <n v="0"/>
    <n v="0"/>
    <n v="0"/>
    <n v="0"/>
    <s v="750C00000000000000000000000000"/>
    <x v="2"/>
    <x v="1"/>
    <x v="0"/>
    <x v="1"/>
  </r>
  <r>
    <x v="0"/>
    <x v="0"/>
    <s v=""/>
    <x v="147"/>
    <x v="14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4"/>
    <x v="0"/>
    <x v="0"/>
    <x v="0"/>
  </r>
  <r>
    <x v="0"/>
    <x v="0"/>
    <s v=""/>
    <x v="147"/>
    <x v="14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0"/>
    <x v="0"/>
    <x v="0"/>
    <x v="58"/>
  </r>
  <r>
    <x v="0"/>
    <x v="0"/>
    <s v=""/>
    <x v="147"/>
    <x v="14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1"/>
    <x v="0"/>
    <x v="0"/>
    <x v="58"/>
  </r>
  <r>
    <x v="0"/>
    <x v="0"/>
    <s v=""/>
    <x v="147"/>
    <x v="14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9"/>
    <x v="0"/>
    <x v="0"/>
    <x v="42"/>
  </r>
  <r>
    <x v="0"/>
    <x v="0"/>
    <s v=""/>
    <x v="147"/>
    <x v="14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4"/>
    <x v="0"/>
    <x v="0"/>
    <x v="0"/>
  </r>
  <r>
    <x v="0"/>
    <x v="0"/>
    <s v=""/>
    <x v="147"/>
    <x v="14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0"/>
    <x v="0"/>
    <x v="0"/>
    <x v="43"/>
  </r>
  <r>
    <x v="0"/>
    <x v="0"/>
    <s v=""/>
    <x v="147"/>
    <x v="147"/>
    <x v="3"/>
    <x v="0"/>
    <x v="39"/>
    <x v="41"/>
    <x v="13"/>
    <n v="0"/>
    <x v="25"/>
    <x v="1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47"/>
    <x v="14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"/>
    <x v="0"/>
    <x v="0"/>
    <x v="59"/>
  </r>
  <r>
    <x v="0"/>
    <x v="0"/>
    <s v=""/>
    <x v="148"/>
    <x v="148"/>
    <x v="3"/>
    <x v="0"/>
    <x v="39"/>
    <x v="42"/>
    <x v="13"/>
    <n v="0"/>
    <x v="3"/>
    <x v="1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48"/>
    <x v="148"/>
    <x v="2"/>
    <x v="0"/>
    <x v="0"/>
    <x v="0"/>
    <x v="0"/>
    <n v="0"/>
    <x v="13"/>
    <x v="0"/>
    <n v="0"/>
    <n v="0"/>
    <n v="0"/>
    <n v="0"/>
    <n v="0"/>
    <n v="0"/>
    <n v="0"/>
    <n v="0"/>
    <n v="0"/>
    <n v="0"/>
    <n v="0"/>
    <s v="640000000000000000000000000000"/>
    <x v="2"/>
    <x v="1"/>
    <x v="0"/>
    <x v="1"/>
  </r>
  <r>
    <x v="0"/>
    <x v="0"/>
    <s v=""/>
    <x v="148"/>
    <x v="14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5"/>
    <x v="0"/>
    <x v="0"/>
    <x v="60"/>
  </r>
  <r>
    <x v="0"/>
    <x v="0"/>
    <s v=""/>
    <x v="149"/>
    <x v="14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7"/>
    <x v="0"/>
    <x v="0"/>
    <x v="61"/>
  </r>
  <r>
    <x v="0"/>
    <x v="0"/>
    <s v=""/>
    <x v="150"/>
    <x v="15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"/>
    <x v="0"/>
    <x v="0"/>
    <x v="62"/>
  </r>
  <r>
    <x v="0"/>
    <x v="0"/>
    <s v=""/>
    <x v="150"/>
    <x v="150"/>
    <x v="2"/>
    <x v="0"/>
    <x v="0"/>
    <x v="0"/>
    <x v="0"/>
    <n v="0"/>
    <x v="13"/>
    <x v="0"/>
    <n v="0"/>
    <n v="0"/>
    <n v="0"/>
    <n v="0"/>
    <n v="0"/>
    <n v="0"/>
    <n v="0"/>
    <n v="0"/>
    <n v="0"/>
    <n v="0"/>
    <n v="0"/>
    <s v="640000000000000000000000000000"/>
    <x v="2"/>
    <x v="1"/>
    <x v="0"/>
    <x v="1"/>
  </r>
  <r>
    <x v="0"/>
    <x v="0"/>
    <s v=""/>
    <x v="150"/>
    <x v="15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"/>
    <x v="0"/>
    <x v="0"/>
    <x v="63"/>
  </r>
  <r>
    <x v="0"/>
    <x v="0"/>
    <s v=""/>
    <x v="151"/>
    <x v="15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"/>
    <x v="0"/>
    <x v="0"/>
    <x v="64"/>
  </r>
  <r>
    <x v="0"/>
    <x v="0"/>
    <s v=""/>
    <x v="151"/>
    <x v="15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"/>
    <x v="0"/>
    <x v="0"/>
    <x v="65"/>
  </r>
  <r>
    <x v="0"/>
    <x v="0"/>
    <s v=""/>
    <x v="152"/>
    <x v="15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"/>
    <x v="0"/>
    <x v="0"/>
    <x v="66"/>
  </r>
  <r>
    <x v="0"/>
    <x v="0"/>
    <s v=""/>
    <x v="153"/>
    <x v="153"/>
    <x v="2"/>
    <x v="0"/>
    <x v="0"/>
    <x v="0"/>
    <x v="0"/>
    <n v="0"/>
    <x v="8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154"/>
    <x v="15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7"/>
    <x v="0"/>
    <x v="0"/>
    <x v="67"/>
  </r>
  <r>
    <x v="0"/>
    <x v="0"/>
    <s v=""/>
    <x v="155"/>
    <x v="155"/>
    <x v="2"/>
    <x v="0"/>
    <x v="0"/>
    <x v="0"/>
    <x v="0"/>
    <n v="0"/>
    <x v="33"/>
    <x v="0"/>
    <n v="0"/>
    <n v="0"/>
    <n v="0"/>
    <n v="0"/>
    <n v="0"/>
    <n v="0"/>
    <n v="0"/>
    <n v="0"/>
    <n v="0"/>
    <n v="0"/>
    <n v="0"/>
    <s v="696E7465726E650000000000000000"/>
    <x v="2"/>
    <x v="1"/>
    <x v="0"/>
    <x v="1"/>
  </r>
  <r>
    <x v="0"/>
    <x v="0"/>
    <s v=""/>
    <x v="155"/>
    <x v="15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6"/>
    <x v="0"/>
    <x v="0"/>
    <x v="68"/>
  </r>
  <r>
    <x v="0"/>
    <x v="0"/>
    <s v=""/>
    <x v="156"/>
    <x v="156"/>
    <x v="2"/>
    <x v="0"/>
    <x v="0"/>
    <x v="0"/>
    <x v="0"/>
    <n v="0"/>
    <x v="24"/>
    <x v="0"/>
    <n v="0"/>
    <n v="0"/>
    <n v="0"/>
    <n v="0"/>
    <n v="0"/>
    <n v="0"/>
    <n v="0"/>
    <n v="0"/>
    <n v="0"/>
    <n v="0"/>
    <n v="0"/>
    <s v="000005000000000000000000000000"/>
    <x v="2"/>
    <x v="1"/>
    <x v="0"/>
    <x v="1"/>
  </r>
  <r>
    <x v="0"/>
    <x v="0"/>
    <s v=""/>
    <x v="157"/>
    <x v="157"/>
    <x v="3"/>
    <x v="0"/>
    <x v="39"/>
    <x v="42"/>
    <x v="13"/>
    <n v="0"/>
    <x v="34"/>
    <x v="1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57"/>
    <x v="157"/>
    <x v="2"/>
    <x v="0"/>
    <x v="0"/>
    <x v="0"/>
    <x v="0"/>
    <n v="0"/>
    <x v="35"/>
    <x v="0"/>
    <n v="0"/>
    <n v="0"/>
    <n v="0"/>
    <n v="0"/>
    <n v="0"/>
    <n v="0"/>
    <n v="0"/>
    <n v="0"/>
    <n v="0"/>
    <n v="0"/>
    <n v="0"/>
    <s v="4E545420444F800000000000000000"/>
    <x v="2"/>
    <x v="1"/>
    <x v="0"/>
    <x v="1"/>
  </r>
  <r>
    <x v="0"/>
    <x v="0"/>
    <s v=""/>
    <x v="158"/>
    <x v="15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7"/>
    <x v="0"/>
    <x v="0"/>
    <x v="69"/>
  </r>
  <r>
    <x v="0"/>
    <x v="0"/>
    <s v=""/>
    <x v="159"/>
    <x v="159"/>
    <x v="2"/>
    <x v="0"/>
    <x v="0"/>
    <x v="0"/>
    <x v="0"/>
    <n v="0"/>
    <x v="37"/>
    <x v="0"/>
    <n v="0"/>
    <n v="0"/>
    <n v="0"/>
    <n v="0"/>
    <n v="0"/>
    <n v="0"/>
    <n v="0"/>
    <n v="0"/>
    <n v="0"/>
    <n v="0"/>
    <n v="0"/>
    <s v="0000FDFFCFFF000000000000000000"/>
    <x v="2"/>
    <x v="1"/>
    <x v="0"/>
    <x v="1"/>
  </r>
  <r>
    <x v="0"/>
    <x v="0"/>
    <s v=""/>
    <x v="159"/>
    <x v="15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2"/>
    <x v="0"/>
    <x v="0"/>
    <x v="58"/>
  </r>
  <r>
    <x v="0"/>
    <x v="0"/>
    <s v=""/>
    <x v="160"/>
    <x v="160"/>
    <x v="2"/>
    <x v="0"/>
    <x v="0"/>
    <x v="0"/>
    <x v="0"/>
    <n v="0"/>
    <x v="38"/>
    <x v="0"/>
    <n v="0"/>
    <n v="0"/>
    <n v="0"/>
    <n v="0"/>
    <n v="0"/>
    <n v="0"/>
    <n v="0"/>
    <n v="0"/>
    <n v="0"/>
    <n v="0"/>
    <n v="0"/>
    <s v="0E0000000000000000000000000000"/>
    <x v="2"/>
    <x v="1"/>
    <x v="0"/>
    <x v="1"/>
  </r>
  <r>
    <x v="0"/>
    <x v="0"/>
    <s v=""/>
    <x v="161"/>
    <x v="16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2"/>
    <x v="0"/>
    <x v="0"/>
    <x v="40"/>
  </r>
  <r>
    <x v="0"/>
    <x v="0"/>
    <s v=""/>
    <x v="162"/>
    <x v="162"/>
    <x v="2"/>
    <x v="0"/>
    <x v="0"/>
    <x v="0"/>
    <x v="0"/>
    <n v="0"/>
    <x v="20"/>
    <x v="0"/>
    <n v="0"/>
    <n v="0"/>
    <n v="0"/>
    <n v="0"/>
    <n v="0"/>
    <n v="0"/>
    <n v="0"/>
    <n v="0"/>
    <n v="0"/>
    <n v="0"/>
    <n v="0"/>
    <s v="1300EDFFFDFFD9FF00000000000000"/>
    <x v="2"/>
    <x v="1"/>
    <x v="0"/>
    <x v="1"/>
  </r>
  <r>
    <x v="0"/>
    <x v="0"/>
    <s v=""/>
    <x v="163"/>
    <x v="163"/>
    <x v="2"/>
    <x v="0"/>
    <x v="0"/>
    <x v="0"/>
    <x v="0"/>
    <n v="0"/>
    <x v="21"/>
    <x v="0"/>
    <n v="0"/>
    <n v="0"/>
    <n v="0"/>
    <n v="0"/>
    <n v="0"/>
    <n v="0"/>
    <n v="0"/>
    <n v="0"/>
    <n v="0"/>
    <n v="0"/>
    <n v="0"/>
    <s v="D2FFFFFF0000000000000000000000"/>
    <x v="2"/>
    <x v="1"/>
    <x v="0"/>
    <x v="1"/>
  </r>
  <r>
    <x v="0"/>
    <x v="0"/>
    <s v=""/>
    <x v="163"/>
    <x v="163"/>
    <x v="2"/>
    <x v="0"/>
    <x v="0"/>
    <x v="0"/>
    <x v="0"/>
    <n v="0"/>
    <x v="22"/>
    <x v="0"/>
    <n v="0"/>
    <n v="0"/>
    <n v="0"/>
    <n v="0"/>
    <n v="0"/>
    <n v="0"/>
    <n v="0"/>
    <n v="0"/>
    <n v="0"/>
    <n v="0"/>
    <n v="0"/>
    <s v="5F0000000000000000000000000000"/>
    <x v="2"/>
    <x v="1"/>
    <x v="0"/>
    <x v="1"/>
  </r>
  <r>
    <x v="0"/>
    <x v="0"/>
    <s v=""/>
    <x v="164"/>
    <x v="164"/>
    <x v="2"/>
    <x v="0"/>
    <x v="0"/>
    <x v="0"/>
    <x v="0"/>
    <n v="0"/>
    <x v="20"/>
    <x v="0"/>
    <n v="0"/>
    <n v="0"/>
    <n v="0"/>
    <n v="0"/>
    <n v="0"/>
    <n v="0"/>
    <n v="0"/>
    <n v="0"/>
    <n v="0"/>
    <n v="0"/>
    <n v="0"/>
    <s v="00000000BFFFE3FF00000000000000"/>
    <x v="2"/>
    <x v="1"/>
    <x v="0"/>
    <x v="1"/>
  </r>
  <r>
    <x v="0"/>
    <x v="0"/>
    <s v=""/>
    <x v="165"/>
    <x v="165"/>
    <x v="2"/>
    <x v="0"/>
    <x v="0"/>
    <x v="0"/>
    <x v="0"/>
    <n v="0"/>
    <x v="21"/>
    <x v="0"/>
    <n v="0"/>
    <n v="0"/>
    <n v="0"/>
    <n v="0"/>
    <n v="0"/>
    <n v="0"/>
    <n v="0"/>
    <n v="0"/>
    <n v="0"/>
    <n v="0"/>
    <n v="0"/>
    <s v="90FFFFFF0000000000000000000000"/>
    <x v="2"/>
    <x v="1"/>
    <x v="0"/>
    <x v="1"/>
  </r>
  <r>
    <x v="0"/>
    <x v="0"/>
    <s v=""/>
    <x v="166"/>
    <x v="166"/>
    <x v="3"/>
    <x v="14"/>
    <x v="41"/>
    <x v="43"/>
    <x v="13"/>
    <n v="0"/>
    <x v="9"/>
    <x v="1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66"/>
    <x v="166"/>
    <x v="2"/>
    <x v="0"/>
    <x v="0"/>
    <x v="0"/>
    <x v="0"/>
    <n v="0"/>
    <x v="39"/>
    <x v="0"/>
    <n v="0"/>
    <n v="0"/>
    <n v="0"/>
    <n v="0"/>
    <n v="0"/>
    <n v="0"/>
    <n v="0"/>
    <n v="0"/>
    <n v="0"/>
    <n v="0"/>
    <n v="0"/>
    <s v="E8FFFFFF0000000000000000000000"/>
    <x v="2"/>
    <x v="1"/>
    <x v="0"/>
    <x v="1"/>
  </r>
  <r>
    <x v="0"/>
    <x v="0"/>
    <s v=""/>
    <x v="166"/>
    <x v="16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2"/>
    <x v="0"/>
    <x v="0"/>
    <x v="58"/>
  </r>
  <r>
    <x v="0"/>
    <x v="0"/>
    <s v=""/>
    <x v="167"/>
    <x v="167"/>
    <x v="3"/>
    <x v="0"/>
    <x v="41"/>
    <x v="43"/>
    <x v="13"/>
    <n v="0"/>
    <x v="9"/>
    <x v="1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68"/>
    <x v="168"/>
    <x v="3"/>
    <x v="14"/>
    <x v="41"/>
    <x v="43"/>
    <x v="13"/>
    <n v="0"/>
    <x v="9"/>
    <x v="1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69"/>
    <x v="169"/>
    <x v="3"/>
    <x v="22"/>
    <x v="42"/>
    <x v="44"/>
    <x v="13"/>
    <n v="0"/>
    <x v="19"/>
    <x v="1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70"/>
    <x v="170"/>
    <x v="2"/>
    <x v="0"/>
    <x v="0"/>
    <x v="0"/>
    <x v="0"/>
    <n v="0"/>
    <x v="38"/>
    <x v="0"/>
    <n v="0"/>
    <n v="0"/>
    <n v="0"/>
    <n v="0"/>
    <n v="0"/>
    <n v="0"/>
    <n v="0"/>
    <n v="0"/>
    <n v="0"/>
    <n v="0"/>
    <n v="0"/>
    <s v="82FFFFFF0000000000000000000000"/>
    <x v="2"/>
    <x v="1"/>
    <x v="0"/>
    <x v="1"/>
  </r>
  <r>
    <x v="0"/>
    <x v="0"/>
    <s v=""/>
    <x v="170"/>
    <x v="170"/>
    <x v="3"/>
    <x v="0"/>
    <x v="42"/>
    <x v="44"/>
    <x v="13"/>
    <n v="0"/>
    <x v="9"/>
    <x v="1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71"/>
    <x v="17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2"/>
    <x v="0"/>
    <x v="0"/>
    <x v="40"/>
  </r>
  <r>
    <x v="0"/>
    <x v="0"/>
    <s v=""/>
    <x v="171"/>
    <x v="171"/>
    <x v="3"/>
    <x v="14"/>
    <x v="42"/>
    <x v="44"/>
    <x v="13"/>
    <n v="0"/>
    <x v="9"/>
    <x v="1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72"/>
    <x v="17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5"/>
    <x v="0"/>
    <x v="0"/>
    <x v="70"/>
  </r>
  <r>
    <x v="0"/>
    <x v="0"/>
    <s v=""/>
    <x v="173"/>
    <x v="17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71"/>
  </r>
  <r>
    <x v="0"/>
    <x v="0"/>
    <s v=""/>
    <x v="173"/>
    <x v="17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3"/>
    <x v="0"/>
    <x v="0"/>
    <x v="72"/>
  </r>
  <r>
    <x v="0"/>
    <x v="0"/>
    <s v=""/>
    <x v="173"/>
    <x v="17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6"/>
    <x v="0"/>
    <x v="0"/>
    <x v="73"/>
  </r>
  <r>
    <x v="0"/>
    <x v="0"/>
    <s v=""/>
    <x v="174"/>
    <x v="17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5"/>
    <x v="0"/>
    <x v="0"/>
    <x v="74"/>
  </r>
  <r>
    <x v="0"/>
    <x v="0"/>
    <s v=""/>
    <x v="175"/>
    <x v="17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5"/>
    <x v="0"/>
    <x v="0"/>
    <x v="75"/>
  </r>
  <r>
    <x v="0"/>
    <x v="0"/>
    <s v=""/>
    <x v="176"/>
    <x v="17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7"/>
    <x v="0"/>
    <x v="0"/>
    <x v="76"/>
  </r>
  <r>
    <x v="0"/>
    <x v="0"/>
    <s v=""/>
    <x v="177"/>
    <x v="177"/>
    <x v="3"/>
    <x v="7"/>
    <x v="43"/>
    <x v="45"/>
    <x v="13"/>
    <n v="0"/>
    <x v="15"/>
    <x v="1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78"/>
    <x v="17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7"/>
    <x v="0"/>
    <x v="0"/>
    <x v="77"/>
  </r>
  <r>
    <x v="0"/>
    <x v="0"/>
    <s v=""/>
    <x v="179"/>
    <x v="17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6"/>
    <x v="0"/>
    <x v="0"/>
    <x v="78"/>
  </r>
  <r>
    <x v="0"/>
    <x v="0"/>
    <s v=""/>
    <x v="180"/>
    <x v="18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7"/>
    <x v="0"/>
    <x v="0"/>
    <x v="79"/>
  </r>
  <r>
    <x v="0"/>
    <x v="0"/>
    <s v=""/>
    <x v="181"/>
    <x v="181"/>
    <x v="3"/>
    <x v="18"/>
    <x v="44"/>
    <x v="46"/>
    <x v="13"/>
    <n v="0"/>
    <x v="14"/>
    <x v="1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82"/>
    <x v="18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5"/>
    <x v="0"/>
    <x v="0"/>
    <x v="80"/>
  </r>
  <r>
    <x v="0"/>
    <x v="0"/>
    <s v=""/>
    <x v="183"/>
    <x v="183"/>
    <x v="3"/>
    <x v="19"/>
    <x v="45"/>
    <x v="47"/>
    <x v="13"/>
    <n v="0"/>
    <x v="15"/>
    <x v="1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84"/>
    <x v="18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45"/>
  </r>
  <r>
    <x v="0"/>
    <x v="0"/>
    <s v=""/>
    <x v="184"/>
    <x v="18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6"/>
    <x v="0"/>
    <x v="0"/>
    <x v="73"/>
  </r>
  <r>
    <x v="0"/>
    <x v="0"/>
    <s v=""/>
    <x v="184"/>
    <x v="18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3"/>
    <x v="0"/>
    <x v="0"/>
    <x v="57"/>
  </r>
  <r>
    <x v="0"/>
    <x v="0"/>
    <s v=""/>
    <x v="185"/>
    <x v="18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81"/>
  </r>
  <r>
    <x v="0"/>
    <x v="0"/>
    <s v=""/>
    <x v="185"/>
    <x v="18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6"/>
    <x v="0"/>
    <x v="0"/>
    <x v="45"/>
  </r>
  <r>
    <x v="0"/>
    <x v="0"/>
    <s v=""/>
    <x v="185"/>
    <x v="18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3"/>
    <x v="0"/>
    <x v="0"/>
    <x v="72"/>
  </r>
  <r>
    <x v="0"/>
    <x v="0"/>
    <s v=""/>
    <x v="186"/>
    <x v="18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3"/>
    <x v="0"/>
    <x v="0"/>
    <x v="72"/>
  </r>
  <r>
    <x v="0"/>
    <x v="0"/>
    <s v=""/>
    <x v="186"/>
    <x v="18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6"/>
    <x v="0"/>
    <x v="0"/>
    <x v="45"/>
  </r>
  <r>
    <x v="0"/>
    <x v="0"/>
    <s v=""/>
    <x v="186"/>
    <x v="18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82"/>
  </r>
  <r>
    <x v="0"/>
    <x v="0"/>
    <s v=""/>
    <x v="186"/>
    <x v="186"/>
    <x v="3"/>
    <x v="0"/>
    <x v="46"/>
    <x v="31"/>
    <x v="13"/>
    <n v="0"/>
    <x v="9"/>
    <x v="1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87"/>
    <x v="18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7"/>
    <x v="0"/>
    <x v="0"/>
    <x v="83"/>
  </r>
  <r>
    <x v="0"/>
    <x v="0"/>
    <s v=""/>
    <x v="188"/>
    <x v="18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5"/>
    <x v="0"/>
    <x v="0"/>
    <x v="84"/>
  </r>
  <r>
    <x v="0"/>
    <x v="0"/>
    <s v=""/>
    <x v="189"/>
    <x v="18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7"/>
    <x v="0"/>
    <x v="0"/>
    <x v="85"/>
  </r>
  <r>
    <x v="0"/>
    <x v="0"/>
    <s v=""/>
    <x v="190"/>
    <x v="190"/>
    <x v="2"/>
    <x v="0"/>
    <x v="0"/>
    <x v="0"/>
    <x v="0"/>
    <n v="0"/>
    <x v="40"/>
    <x v="0"/>
    <n v="0"/>
    <n v="0"/>
    <n v="0"/>
    <n v="0"/>
    <n v="0"/>
    <n v="0"/>
    <n v="0"/>
    <n v="0"/>
    <n v="0"/>
    <n v="0"/>
    <n v="0"/>
    <s v="ABAAB7A9BAB9B8B700000000000000"/>
    <x v="2"/>
    <x v="1"/>
    <x v="0"/>
    <x v="1"/>
  </r>
  <r>
    <x v="0"/>
    <x v="0"/>
    <s v=""/>
    <x v="190"/>
    <x v="190"/>
    <x v="2"/>
    <x v="0"/>
    <x v="0"/>
    <x v="0"/>
    <x v="0"/>
    <n v="0"/>
    <x v="41"/>
    <x v="0"/>
    <n v="0"/>
    <n v="0"/>
    <n v="0"/>
    <n v="0"/>
    <n v="0"/>
    <n v="0"/>
    <n v="0"/>
    <n v="0"/>
    <n v="0"/>
    <n v="0"/>
    <n v="0"/>
    <s v="4E545420444F800000000000000000"/>
    <x v="2"/>
    <x v="1"/>
    <x v="0"/>
    <x v="1"/>
  </r>
  <r>
    <x v="0"/>
    <x v="0"/>
    <s v=""/>
    <x v="190"/>
    <x v="190"/>
    <x v="2"/>
    <x v="0"/>
    <x v="0"/>
    <x v="0"/>
    <x v="0"/>
    <n v="0"/>
    <x v="42"/>
    <x v="0"/>
    <n v="0"/>
    <n v="0"/>
    <n v="0"/>
    <n v="0"/>
    <n v="0"/>
    <n v="0"/>
    <n v="0"/>
    <n v="0"/>
    <n v="0"/>
    <n v="0"/>
    <n v="0"/>
    <s v="0300AAAB4200922800000000000000"/>
    <x v="2"/>
    <x v="1"/>
    <x v="0"/>
    <x v="1"/>
  </r>
  <r>
    <x v="0"/>
    <x v="0"/>
    <s v=""/>
    <x v="190"/>
    <x v="190"/>
    <x v="2"/>
    <x v="0"/>
    <x v="0"/>
    <x v="0"/>
    <x v="0"/>
    <n v="0"/>
    <x v="43"/>
    <x v="0"/>
    <n v="0"/>
    <n v="0"/>
    <n v="0"/>
    <n v="0"/>
    <n v="0"/>
    <n v="0"/>
    <n v="0"/>
    <n v="0"/>
    <n v="0"/>
    <n v="0"/>
    <n v="0"/>
    <s v="A70A06012116000200000000000000"/>
    <x v="2"/>
    <x v="1"/>
    <x v="0"/>
    <x v="1"/>
  </r>
  <r>
    <x v="0"/>
    <x v="0"/>
    <s v=""/>
    <x v="190"/>
    <x v="190"/>
    <x v="2"/>
    <x v="0"/>
    <x v="0"/>
    <x v="0"/>
    <x v="0"/>
    <n v="0"/>
    <x v="44"/>
    <x v="0"/>
    <n v="0"/>
    <n v="0"/>
    <n v="0"/>
    <n v="0"/>
    <n v="0"/>
    <n v="0"/>
    <n v="0"/>
    <n v="0"/>
    <n v="0"/>
    <n v="0"/>
    <n v="0"/>
    <s v="060A08090809080600000000000000"/>
    <x v="2"/>
    <x v="1"/>
    <x v="0"/>
    <x v="1"/>
  </r>
  <r>
    <x v="0"/>
    <x v="0"/>
    <s v=""/>
    <x v="191"/>
    <x v="191"/>
    <x v="3"/>
    <x v="0"/>
    <x v="46"/>
    <x v="31"/>
    <x v="13"/>
    <n v="0"/>
    <x v="19"/>
    <x v="1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92"/>
    <x v="19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5"/>
    <x v="0"/>
    <x v="0"/>
    <x v="86"/>
  </r>
  <r>
    <x v="0"/>
    <x v="0"/>
    <s v=""/>
    <x v="193"/>
    <x v="193"/>
    <x v="3"/>
    <x v="11"/>
    <x v="47"/>
    <x v="48"/>
    <x v="13"/>
    <n v="0"/>
    <x v="9"/>
    <x v="1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94"/>
    <x v="19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5"/>
    <x v="0"/>
    <x v="0"/>
    <x v="87"/>
  </r>
  <r>
    <x v="0"/>
    <x v="0"/>
    <s v=""/>
    <x v="195"/>
    <x v="19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5"/>
    <x v="0"/>
    <x v="0"/>
    <x v="88"/>
  </r>
  <r>
    <x v="0"/>
    <x v="0"/>
    <s v=""/>
    <x v="196"/>
    <x v="196"/>
    <x v="3"/>
    <x v="10"/>
    <x v="48"/>
    <x v="49"/>
    <x v="13"/>
    <n v="0"/>
    <x v="15"/>
    <x v="1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97"/>
    <x v="197"/>
    <x v="3"/>
    <x v="6"/>
    <x v="49"/>
    <x v="50"/>
    <x v="13"/>
    <n v="0"/>
    <x v="14"/>
    <x v="1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98"/>
    <x v="198"/>
    <x v="2"/>
    <x v="0"/>
    <x v="0"/>
    <x v="0"/>
    <x v="0"/>
    <n v="0"/>
    <x v="41"/>
    <x v="0"/>
    <n v="0"/>
    <n v="0"/>
    <n v="0"/>
    <n v="0"/>
    <n v="0"/>
    <n v="0"/>
    <n v="0"/>
    <n v="0"/>
    <n v="0"/>
    <n v="0"/>
    <n v="0"/>
    <s v="4E545420444F800000000000000000"/>
    <x v="2"/>
    <x v="1"/>
    <x v="0"/>
    <x v="1"/>
  </r>
  <r>
    <x v="0"/>
    <x v="0"/>
    <s v=""/>
    <x v="198"/>
    <x v="198"/>
    <x v="2"/>
    <x v="0"/>
    <x v="0"/>
    <x v="0"/>
    <x v="0"/>
    <n v="0"/>
    <x v="44"/>
    <x v="0"/>
    <n v="0"/>
    <n v="0"/>
    <n v="0"/>
    <n v="0"/>
    <n v="0"/>
    <n v="0"/>
    <n v="0"/>
    <n v="0"/>
    <n v="0"/>
    <n v="0"/>
    <n v="0"/>
    <s v="0203060A0809080900000000000000"/>
    <x v="2"/>
    <x v="1"/>
    <x v="0"/>
    <x v="1"/>
  </r>
  <r>
    <x v="0"/>
    <x v="0"/>
    <s v=""/>
    <x v="198"/>
    <x v="198"/>
    <x v="2"/>
    <x v="0"/>
    <x v="0"/>
    <x v="0"/>
    <x v="0"/>
    <n v="0"/>
    <x v="43"/>
    <x v="0"/>
    <n v="0"/>
    <n v="0"/>
    <n v="0"/>
    <n v="0"/>
    <n v="0"/>
    <n v="0"/>
    <n v="0"/>
    <n v="0"/>
    <n v="0"/>
    <n v="0"/>
    <n v="0"/>
    <s v="870302000016000200000000000000"/>
    <x v="2"/>
    <x v="1"/>
    <x v="0"/>
    <x v="1"/>
  </r>
  <r>
    <x v="0"/>
    <x v="0"/>
    <s v=""/>
    <x v="198"/>
    <x v="198"/>
    <x v="2"/>
    <x v="0"/>
    <x v="0"/>
    <x v="0"/>
    <x v="0"/>
    <n v="0"/>
    <x v="40"/>
    <x v="0"/>
    <n v="0"/>
    <n v="0"/>
    <n v="0"/>
    <n v="0"/>
    <n v="0"/>
    <n v="0"/>
    <n v="0"/>
    <n v="0"/>
    <n v="0"/>
    <n v="0"/>
    <n v="0"/>
    <s v="7886ABAAB7A9BAB900000000000000"/>
    <x v="2"/>
    <x v="1"/>
    <x v="0"/>
    <x v="1"/>
  </r>
  <r>
    <x v="0"/>
    <x v="0"/>
    <s v=""/>
    <x v="198"/>
    <x v="198"/>
    <x v="2"/>
    <x v="0"/>
    <x v="0"/>
    <x v="0"/>
    <x v="0"/>
    <n v="0"/>
    <x v="42"/>
    <x v="0"/>
    <n v="0"/>
    <n v="0"/>
    <n v="0"/>
    <n v="0"/>
    <n v="0"/>
    <n v="0"/>
    <n v="0"/>
    <n v="0"/>
    <n v="0"/>
    <n v="0"/>
    <n v="0"/>
    <s v="040086784200920000000000000000"/>
    <x v="2"/>
    <x v="1"/>
    <x v="0"/>
    <x v="1"/>
  </r>
  <r>
    <x v="0"/>
    <x v="0"/>
    <s v=""/>
    <x v="199"/>
    <x v="19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7"/>
    <x v="0"/>
    <x v="0"/>
    <x v="77"/>
  </r>
  <r>
    <x v="0"/>
    <x v="0"/>
    <s v=""/>
    <x v="200"/>
    <x v="200"/>
    <x v="3"/>
    <x v="7"/>
    <x v="50"/>
    <x v="51"/>
    <x v="10"/>
    <n v="0"/>
    <x v="14"/>
    <x v="1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01"/>
    <x v="201"/>
    <x v="2"/>
    <x v="0"/>
    <x v="0"/>
    <x v="0"/>
    <x v="0"/>
    <n v="0"/>
    <x v="33"/>
    <x v="0"/>
    <n v="0"/>
    <n v="0"/>
    <n v="0"/>
    <n v="0"/>
    <n v="0"/>
    <n v="0"/>
    <n v="0"/>
    <n v="0"/>
    <n v="0"/>
    <n v="0"/>
    <n v="0"/>
    <s v="696E7465726E650000000000000000"/>
    <x v="2"/>
    <x v="1"/>
    <x v="0"/>
    <x v="1"/>
  </r>
  <r>
    <x v="0"/>
    <x v="0"/>
    <s v=""/>
    <x v="202"/>
    <x v="202"/>
    <x v="3"/>
    <x v="19"/>
    <x v="51"/>
    <x v="52"/>
    <x v="10"/>
    <n v="0"/>
    <x v="34"/>
    <x v="1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02"/>
    <x v="202"/>
    <x v="2"/>
    <x v="0"/>
    <x v="0"/>
    <x v="0"/>
    <x v="0"/>
    <n v="0"/>
    <x v="35"/>
    <x v="0"/>
    <n v="0"/>
    <n v="0"/>
    <n v="0"/>
    <n v="0"/>
    <n v="0"/>
    <n v="0"/>
    <n v="0"/>
    <n v="0"/>
    <n v="0"/>
    <n v="0"/>
    <n v="0"/>
    <s v="4E545420444F800000000000000000"/>
    <x v="2"/>
    <x v="1"/>
    <x v="0"/>
    <x v="1"/>
  </r>
  <r>
    <x v="0"/>
    <x v="0"/>
    <s v=""/>
    <x v="203"/>
    <x v="203"/>
    <x v="3"/>
    <x v="9"/>
    <x v="52"/>
    <x v="53"/>
    <x v="10"/>
    <n v="0"/>
    <x v="15"/>
    <x v="1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04"/>
    <x v="204"/>
    <x v="3"/>
    <x v="17"/>
    <x v="53"/>
    <x v="54"/>
    <x v="10"/>
    <n v="0"/>
    <x v="14"/>
    <x v="1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05"/>
    <x v="20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6"/>
    <x v="0"/>
    <x v="0"/>
    <x v="89"/>
  </r>
  <r>
    <x v="0"/>
    <x v="0"/>
    <s v=""/>
    <x v="205"/>
    <x v="20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3"/>
    <x v="0"/>
    <x v="0"/>
    <x v="44"/>
  </r>
  <r>
    <x v="0"/>
    <x v="0"/>
    <s v=""/>
    <x v="205"/>
    <x v="20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90"/>
  </r>
  <r>
    <x v="0"/>
    <x v="0"/>
    <s v=""/>
    <x v="206"/>
    <x v="206"/>
    <x v="3"/>
    <x v="23"/>
    <x v="53"/>
    <x v="55"/>
    <x v="15"/>
    <n v="0"/>
    <x v="14"/>
    <x v="1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07"/>
    <x v="20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3"/>
    <x v="0"/>
    <x v="0"/>
    <x v="72"/>
  </r>
  <r>
    <x v="0"/>
    <x v="0"/>
    <s v=""/>
    <x v="207"/>
    <x v="20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91"/>
  </r>
  <r>
    <x v="0"/>
    <x v="0"/>
    <s v=""/>
    <x v="207"/>
    <x v="20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6"/>
    <x v="0"/>
    <x v="0"/>
    <x v="92"/>
  </r>
  <r>
    <x v="0"/>
    <x v="0"/>
    <s v=""/>
    <x v="208"/>
    <x v="20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7"/>
    <x v="0"/>
    <x v="0"/>
    <x v="93"/>
  </r>
  <r>
    <x v="0"/>
    <x v="0"/>
    <s v=""/>
    <x v="209"/>
    <x v="20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5"/>
    <x v="0"/>
    <x v="0"/>
    <x v="94"/>
  </r>
  <r>
    <x v="0"/>
    <x v="0"/>
    <s v=""/>
    <x v="210"/>
    <x v="210"/>
    <x v="3"/>
    <x v="19"/>
    <x v="54"/>
    <x v="56"/>
    <x v="16"/>
    <n v="0"/>
    <x v="15"/>
    <x v="1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11"/>
    <x v="21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95"/>
  </r>
  <r>
    <x v="0"/>
    <x v="0"/>
    <s v=""/>
    <x v="211"/>
    <x v="21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6"/>
    <x v="0"/>
    <x v="0"/>
    <x v="45"/>
  </r>
  <r>
    <x v="0"/>
    <x v="0"/>
    <s v=""/>
    <x v="211"/>
    <x v="21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3"/>
    <x v="0"/>
    <x v="0"/>
    <x v="72"/>
  </r>
  <r>
    <x v="0"/>
    <x v="0"/>
    <s v=""/>
    <x v="212"/>
    <x v="21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7"/>
    <x v="0"/>
    <x v="0"/>
    <x v="77"/>
  </r>
  <r>
    <x v="0"/>
    <x v="0"/>
    <s v=""/>
    <x v="213"/>
    <x v="213"/>
    <x v="3"/>
    <x v="0"/>
    <x v="55"/>
    <x v="57"/>
    <x v="17"/>
    <n v="0"/>
    <x v="9"/>
    <x v="1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14"/>
    <x v="214"/>
    <x v="3"/>
    <x v="14"/>
    <x v="55"/>
    <x v="57"/>
    <x v="17"/>
    <n v="0"/>
    <x v="9"/>
    <x v="1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14"/>
    <x v="21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5"/>
    <x v="0"/>
    <x v="0"/>
    <x v="84"/>
  </r>
  <r>
    <x v="0"/>
    <x v="0"/>
    <s v=""/>
    <x v="215"/>
    <x v="21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71"/>
  </r>
  <r>
    <x v="0"/>
    <x v="0"/>
    <s v=""/>
    <x v="215"/>
    <x v="21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3"/>
    <x v="0"/>
    <x v="0"/>
    <x v="96"/>
  </r>
  <r>
    <x v="0"/>
    <x v="0"/>
    <s v=""/>
    <x v="215"/>
    <x v="21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6"/>
    <x v="0"/>
    <x v="0"/>
    <x v="45"/>
  </r>
  <r>
    <x v="0"/>
    <x v="0"/>
    <s v=""/>
    <x v="216"/>
    <x v="21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5"/>
    <x v="0"/>
    <x v="0"/>
    <x v="97"/>
  </r>
  <r>
    <x v="0"/>
    <x v="0"/>
    <s v=""/>
    <x v="217"/>
    <x v="217"/>
    <x v="3"/>
    <x v="23"/>
    <x v="56"/>
    <x v="58"/>
    <x v="18"/>
    <n v="0"/>
    <x v="15"/>
    <x v="1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18"/>
    <x v="21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5"/>
    <x v="0"/>
    <x v="0"/>
    <x v="98"/>
  </r>
  <r>
    <x v="0"/>
    <x v="0"/>
    <s v=""/>
    <x v="219"/>
    <x v="219"/>
    <x v="2"/>
    <x v="0"/>
    <x v="0"/>
    <x v="0"/>
    <x v="0"/>
    <n v="0"/>
    <x v="13"/>
    <x v="0"/>
    <n v="0"/>
    <n v="0"/>
    <n v="0"/>
    <n v="0"/>
    <n v="0"/>
    <n v="0"/>
    <n v="0"/>
    <n v="0"/>
    <n v="0"/>
    <n v="0"/>
    <n v="0"/>
    <s v="6F0000000000000000000000000000"/>
    <x v="2"/>
    <x v="1"/>
    <x v="0"/>
    <x v="1"/>
  </r>
  <r>
    <x v="0"/>
    <x v="0"/>
    <s v=""/>
    <x v="220"/>
    <x v="220"/>
    <x v="2"/>
    <x v="0"/>
    <x v="0"/>
    <x v="0"/>
    <x v="0"/>
    <n v="0"/>
    <x v="13"/>
    <x v="0"/>
    <n v="0"/>
    <n v="0"/>
    <n v="0"/>
    <n v="0"/>
    <n v="0"/>
    <n v="0"/>
    <n v="0"/>
    <n v="0"/>
    <n v="0"/>
    <n v="0"/>
    <n v="0"/>
    <s v="630000000000000000000000000000"/>
    <x v="2"/>
    <x v="1"/>
    <x v="0"/>
    <x v="1"/>
  </r>
  <r>
    <x v="0"/>
    <x v="0"/>
    <s v=""/>
    <x v="221"/>
    <x v="221"/>
    <x v="3"/>
    <x v="24"/>
    <x v="57"/>
    <x v="59"/>
    <x v="19"/>
    <n v="0"/>
    <x v="15"/>
    <x v="1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22"/>
    <x v="222"/>
    <x v="2"/>
    <x v="0"/>
    <x v="0"/>
    <x v="0"/>
    <x v="0"/>
    <n v="0"/>
    <x v="13"/>
    <x v="0"/>
    <n v="0"/>
    <n v="0"/>
    <n v="0"/>
    <n v="0"/>
    <n v="0"/>
    <n v="0"/>
    <n v="0"/>
    <n v="0"/>
    <n v="0"/>
    <n v="0"/>
    <n v="0"/>
    <s v="640000000000000000000000000000"/>
    <x v="2"/>
    <x v="1"/>
    <x v="0"/>
    <x v="1"/>
  </r>
  <r>
    <x v="0"/>
    <x v="0"/>
    <s v=""/>
    <x v="222"/>
    <x v="222"/>
    <x v="2"/>
    <x v="0"/>
    <x v="0"/>
    <x v="0"/>
    <x v="0"/>
    <n v="0"/>
    <x v="45"/>
    <x v="0"/>
    <n v="0"/>
    <n v="0"/>
    <n v="0"/>
    <n v="0"/>
    <n v="0"/>
    <n v="0"/>
    <n v="0"/>
    <n v="0"/>
    <n v="0"/>
    <n v="0"/>
    <n v="0"/>
    <s v="000080000000000000000000000000"/>
    <x v="2"/>
    <x v="1"/>
    <x v="0"/>
    <x v="1"/>
  </r>
  <r>
    <x v="0"/>
    <x v="0"/>
    <s v=""/>
    <x v="222"/>
    <x v="222"/>
    <x v="2"/>
    <x v="0"/>
    <x v="0"/>
    <x v="0"/>
    <x v="0"/>
    <n v="0"/>
    <x v="7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223"/>
    <x v="223"/>
    <x v="2"/>
    <x v="0"/>
    <x v="0"/>
    <x v="0"/>
    <x v="0"/>
    <n v="0"/>
    <x v="13"/>
    <x v="0"/>
    <n v="0"/>
    <n v="0"/>
    <n v="0"/>
    <n v="0"/>
    <n v="0"/>
    <n v="0"/>
    <n v="0"/>
    <n v="0"/>
    <n v="0"/>
    <n v="0"/>
    <n v="0"/>
    <s v="4A0000000000000000000000000000"/>
    <x v="2"/>
    <x v="1"/>
    <x v="0"/>
    <x v="1"/>
  </r>
  <r>
    <x v="0"/>
    <x v="0"/>
    <s v=""/>
    <x v="223"/>
    <x v="22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3"/>
    <x v="0"/>
    <x v="0"/>
    <x v="40"/>
  </r>
  <r>
    <x v="0"/>
    <x v="0"/>
    <s v=""/>
    <x v="224"/>
    <x v="224"/>
    <x v="2"/>
    <x v="0"/>
    <x v="0"/>
    <x v="0"/>
    <x v="0"/>
    <n v="0"/>
    <x v="13"/>
    <x v="0"/>
    <n v="0"/>
    <n v="0"/>
    <n v="0"/>
    <n v="0"/>
    <n v="0"/>
    <n v="0"/>
    <n v="0"/>
    <n v="0"/>
    <n v="0"/>
    <n v="0"/>
    <n v="0"/>
    <s v="640000000000000000000000000000"/>
    <x v="2"/>
    <x v="1"/>
    <x v="0"/>
    <x v="1"/>
  </r>
  <r>
    <x v="0"/>
    <x v="0"/>
    <s v=""/>
    <x v="225"/>
    <x v="225"/>
    <x v="2"/>
    <x v="0"/>
    <x v="0"/>
    <x v="0"/>
    <x v="0"/>
    <n v="0"/>
    <x v="13"/>
    <x v="0"/>
    <n v="0"/>
    <n v="0"/>
    <n v="0"/>
    <n v="0"/>
    <n v="0"/>
    <n v="0"/>
    <n v="0"/>
    <n v="0"/>
    <n v="0"/>
    <n v="0"/>
    <n v="0"/>
    <s v="640000000000000000000000000000"/>
    <x v="2"/>
    <x v="1"/>
    <x v="0"/>
    <x v="1"/>
  </r>
  <r>
    <x v="0"/>
    <x v="0"/>
    <s v=""/>
    <x v="226"/>
    <x v="226"/>
    <x v="3"/>
    <x v="0"/>
    <x v="58"/>
    <x v="60"/>
    <x v="20"/>
    <n v="0"/>
    <x v="9"/>
    <x v="1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27"/>
    <x v="227"/>
    <x v="3"/>
    <x v="1"/>
    <x v="58"/>
    <x v="60"/>
    <x v="20"/>
    <n v="0"/>
    <x v="9"/>
    <x v="1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27"/>
    <x v="22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5"/>
    <x v="0"/>
    <x v="0"/>
    <x v="99"/>
  </r>
  <r>
    <x v="0"/>
    <x v="0"/>
    <s v=""/>
    <x v="228"/>
    <x v="22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5"/>
    <x v="0"/>
    <x v="0"/>
    <x v="100"/>
  </r>
  <r>
    <x v="0"/>
    <x v="0"/>
    <s v=""/>
    <x v="229"/>
    <x v="22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5"/>
    <x v="0"/>
    <x v="0"/>
    <x v="101"/>
  </r>
  <r>
    <x v="0"/>
    <x v="0"/>
    <s v=""/>
    <x v="230"/>
    <x v="230"/>
    <x v="3"/>
    <x v="6"/>
    <x v="59"/>
    <x v="61"/>
    <x v="21"/>
    <n v="0"/>
    <x v="15"/>
    <x v="1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31"/>
    <x v="231"/>
    <x v="3"/>
    <x v="19"/>
    <x v="60"/>
    <x v="62"/>
    <x v="22"/>
    <n v="0"/>
    <x v="19"/>
    <x v="1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32"/>
    <x v="23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6"/>
    <x v="0"/>
    <x v="0"/>
    <x v="102"/>
  </r>
  <r>
    <x v="0"/>
    <x v="0"/>
    <s v=""/>
    <x v="233"/>
    <x v="23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5"/>
    <x v="0"/>
    <x v="0"/>
    <x v="103"/>
  </r>
  <r>
    <x v="0"/>
    <x v="0"/>
    <s v=""/>
    <x v="234"/>
    <x v="23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5"/>
    <x v="0"/>
    <x v="0"/>
    <x v="104"/>
  </r>
  <r>
    <x v="0"/>
    <x v="0"/>
    <s v=""/>
    <x v="235"/>
    <x v="23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5"/>
    <x v="0"/>
    <x v="0"/>
    <x v="105"/>
  </r>
  <r>
    <x v="0"/>
    <x v="0"/>
    <s v=""/>
    <x v="236"/>
    <x v="23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7"/>
    <x v="0"/>
    <x v="0"/>
    <x v="106"/>
  </r>
  <r>
    <x v="0"/>
    <x v="0"/>
    <s v=""/>
    <x v="237"/>
    <x v="23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2"/>
    <x v="0"/>
    <x v="0"/>
    <x v="107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1" cacheId="222" dataOnRows="1" applyNumberFormats="0" applyBorderFormats="0" applyFontFormats="0" applyPatternFormats="0" applyAlignmentFormats="0" applyWidthHeightFormats="1" dataCaption="Data" updatedVersion="3" showDrill="0" showMemberPropertyTips="0" useAutoFormatting="1" rowGrandTotals="0" itemPrintTitles="1" createdVersion="1" indent="0" compact="0" compactData="0" gridDropZones="1">
  <location ref="A8:U360" firstHeaderRow="2" firstDataRow="2" firstDataCol="15"/>
  <pivotFields count="29">
    <pivotField axis="axisRow" compact="0" outline="0" subtotalTop="0" showAll="0" includeNewItemsInFilter="1" defaultSubtotal="0">
      <items count="4">
        <item m="1" x="1"/>
        <item m="1" x="2"/>
        <item m="1" x="3"/>
        <item x="0"/>
      </items>
    </pivotField>
    <pivotField axis="axisRow" compact="0" outline="0" subtotalTop="0" showAll="0" includeNewItemsInFilter="1" defaultSubtotal="0">
      <items count="5">
        <item m="1" x="1"/>
        <item m="1" x="2"/>
        <item m="1" x="3"/>
        <item m="1" x="4"/>
        <item x="0"/>
      </items>
    </pivotField>
    <pivotField compact="0" outline="0" subtotalTop="0" showAll="0" includeNewItemsInFilter="1" defaultSubtotal="0"/>
    <pivotField axis="axisRow" compact="0" numFmtId="178" outline="0" subtotalTop="0" showAll="0" includeNewItemsInFilter="1" defaultSubtotal="0">
      <items count="242">
        <item m="1" x="241"/>
        <item m="1" x="238"/>
        <item m="1" x="240"/>
        <item m="1" x="239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</items>
    </pivotField>
    <pivotField axis="axisRow" compact="0" numFmtId="176" outline="0" subtotalTop="0" showAll="0" includeNewItemsInFilter="1" defaultSubtotal="0">
      <items count="242">
        <item m="1" x="241"/>
        <item m="1" x="238"/>
        <item m="1" x="240"/>
        <item m="1" x="239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</items>
    </pivotField>
    <pivotField axis="axisRow" compact="0" outline="0" subtotalTop="0" showAll="0" includeNewItemsInFilter="1" defaultSubtotal="0">
      <items count="4">
        <item x="1"/>
        <item x="0"/>
        <item x="3"/>
        <item x="2"/>
      </items>
    </pivotField>
    <pivotField axis="axisRow" compact="0" outline="0" subtotalTop="0" showAll="0" includeNewItemsInFilter="1" defaultSubtotal="0">
      <items count="25">
        <item x="0"/>
        <item x="24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</items>
    </pivotField>
    <pivotField axis="axisRow" compact="0" outline="0" subtotalTop="0" showAll="0" includeNewItemsInFilter="1" defaultSubtotal="0">
      <items count="64">
        <item m="1" x="61"/>
        <item m="1" x="62"/>
        <item m="1" x="63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</items>
    </pivotField>
    <pivotField axis="axisRow" compact="0" outline="0" subtotalTop="0" showAll="0" includeNewItemsInFilter="1" defaultSubtotal="0">
      <items count="66">
        <item m="1" x="64"/>
        <item m="1" x="65"/>
        <item m="1" x="63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</items>
    </pivotField>
    <pivotField axis="axisRow" compact="0" outline="0" subtotalTop="0" showAll="0" includeNewItemsInFilter="1" defaultSubtotal="0">
      <items count="26">
        <item x="0"/>
        <item m="1" x="24"/>
        <item m="1" x="23"/>
        <item m="1" x="25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</items>
    </pivotField>
    <pivotField compact="0" outline="0" subtotalTop="0" showAll="0" includeNewItemsInFilter="1" defaultSubtotal="0"/>
    <pivotField axis="axisRow" compact="0" outline="0" subtotalTop="0" showAll="0" includeNewItemsInFilter="1" defaultSubtotal="0">
      <items count="49">
        <item x="0"/>
        <item m="1" x="47"/>
        <item m="1" x="46"/>
        <item m="1" x="48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</items>
    </pivotField>
    <pivotField axis="axisRow" compact="0" outline="0" subtotalTop="0" showAll="0" includeNewItemsInFilter="1" defaultSubtotal="0">
      <items count="4">
        <item m="1" x="3"/>
        <item x="2"/>
        <item x="1"/>
        <item x="0"/>
      </items>
    </pivotField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numFmtId="177" outline="0" subtotalTop="0" showAll="0" includeNewItemsInFilter="1" defaultSubtotal="0"/>
    <pivotField axis="axisRow" compact="0" outline="0" subtotalTop="0" showAll="0" includeNewItemsInFilter="1" defaultSubtotal="0">
      <items count="27">
        <item m="1" x="24"/>
        <item m="1" x="26"/>
        <item m="1" x="25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</items>
    </pivotField>
    <pivotField axis="axisRow" compact="0" outline="0" subtotalTop="0" showAll="0" includeNewItemsInFilter="1" defaultSubtotal="0">
      <items count="3">
        <item x="0"/>
        <item m="1" x="2"/>
        <item x="1"/>
      </items>
    </pivotField>
    <pivotField axis="axisRow" compact="0" outline="0" subtotalTop="0" showAll="0" includeNewItemsInFilter="1" defaultSubtotal="0">
      <items count="3">
        <item x="1"/>
        <item m="1" x="2"/>
        <item x="0"/>
      </items>
    </pivotField>
    <pivotField axis="axisRow" compact="0" outline="0" subtotalTop="0" showAll="0" includeNewItemsInFilter="1" defaultSubtotal="0">
      <items count="109">
        <item x="1"/>
        <item m="1" x="108"/>
        <item x="0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</items>
    </pivotField>
  </pivotFields>
  <rowFields count="15">
    <field x="0"/>
    <field x="1"/>
    <field x="3"/>
    <field x="4"/>
    <field x="5"/>
    <field x="6"/>
    <field x="7"/>
    <field x="8"/>
    <field x="9"/>
    <field x="11"/>
    <field x="12"/>
    <field x="25"/>
    <field x="26"/>
    <field x="27"/>
    <field x="28"/>
  </rowFields>
  <rowItems count="351">
    <i>
      <x v="3"/>
      <x v="4"/>
      <x v="4"/>
      <x v="4"/>
      <x/>
      <x/>
      <x v="3"/>
      <x v="3"/>
      <x/>
      <x/>
      <x v="3"/>
      <x v="4"/>
      <x/>
      <x/>
      <x/>
    </i>
    <i r="4">
      <x v="1"/>
      <x/>
      <x v="3"/>
      <x v="3"/>
      <x/>
      <x/>
      <x v="3"/>
      <x v="3"/>
      <x/>
      <x v="2"/>
      <x v="2"/>
    </i>
    <i r="2">
      <x v="5"/>
      <x v="5"/>
      <x v="3"/>
      <x/>
      <x v="3"/>
      <x v="3"/>
      <x/>
      <x v="4"/>
      <x v="3"/>
      <x v="5"/>
      <x v="2"/>
      <x v="2"/>
      <x/>
    </i>
    <i r="2">
      <x v="6"/>
      <x v="6"/>
      <x v="3"/>
      <x/>
      <x v="3"/>
      <x v="3"/>
      <x/>
      <x v="4"/>
      <x v="3"/>
      <x v="5"/>
      <x v="2"/>
      <x v="2"/>
      <x/>
    </i>
    <i r="9">
      <x v="5"/>
      <x v="3"/>
      <x v="5"/>
      <x v="2"/>
      <x v="2"/>
      <x/>
    </i>
    <i r="2">
      <x v="7"/>
      <x v="7"/>
      <x v="3"/>
      <x/>
      <x v="3"/>
      <x v="3"/>
      <x/>
      <x v="4"/>
      <x v="3"/>
      <x v="5"/>
      <x v="2"/>
      <x v="2"/>
      <x/>
    </i>
    <i r="9">
      <x v="5"/>
      <x v="3"/>
      <x v="5"/>
      <x v="2"/>
      <x v="2"/>
      <x/>
    </i>
    <i r="2">
      <x v="8"/>
      <x v="8"/>
      <x v="3"/>
      <x/>
      <x v="3"/>
      <x v="3"/>
      <x/>
      <x v="4"/>
      <x v="3"/>
      <x v="5"/>
      <x v="2"/>
      <x v="2"/>
      <x/>
    </i>
    <i r="2">
      <x v="9"/>
      <x v="9"/>
      <x v="3"/>
      <x/>
      <x v="3"/>
      <x v="3"/>
      <x/>
      <x v="4"/>
      <x v="3"/>
      <x v="5"/>
      <x v="2"/>
      <x v="2"/>
      <x/>
    </i>
    <i r="2">
      <x v="10"/>
      <x v="10"/>
      <x v="3"/>
      <x/>
      <x v="3"/>
      <x v="3"/>
      <x/>
      <x v="4"/>
      <x v="3"/>
      <x v="5"/>
      <x v="2"/>
      <x v="2"/>
      <x/>
    </i>
    <i r="2">
      <x v="11"/>
      <x v="11"/>
      <x v="3"/>
      <x/>
      <x v="3"/>
      <x v="3"/>
      <x/>
      <x v="4"/>
      <x v="3"/>
      <x v="5"/>
      <x v="2"/>
      <x v="2"/>
      <x/>
    </i>
    <i r="2">
      <x v="12"/>
      <x v="12"/>
      <x v="3"/>
      <x/>
      <x v="3"/>
      <x v="3"/>
      <x/>
      <x v="4"/>
      <x v="3"/>
      <x v="5"/>
      <x v="2"/>
      <x v="2"/>
      <x/>
    </i>
    <i r="2">
      <x v="13"/>
      <x v="13"/>
      <x v="1"/>
      <x/>
      <x v="3"/>
      <x v="3"/>
      <x/>
      <x/>
      <x v="3"/>
      <x v="6"/>
      <x/>
      <x v="2"/>
      <x v="3"/>
    </i>
    <i r="14">
      <x v="4"/>
    </i>
    <i r="2">
      <x v="14"/>
      <x v="14"/>
      <x v="1"/>
      <x/>
      <x v="3"/>
      <x v="3"/>
      <x/>
      <x/>
      <x v="3"/>
      <x v="6"/>
      <x/>
      <x v="2"/>
      <x v="5"/>
    </i>
    <i r="2">
      <x v="15"/>
      <x v="15"/>
      <x v="1"/>
      <x/>
      <x v="3"/>
      <x v="3"/>
      <x/>
      <x/>
      <x v="3"/>
      <x v="7"/>
      <x/>
      <x v="2"/>
      <x v="2"/>
    </i>
    <i r="11">
      <x v="8"/>
      <x/>
      <x v="2"/>
      <x v="6"/>
    </i>
    <i r="4">
      <x v="2"/>
      <x/>
      <x v="4"/>
      <x v="4"/>
      <x v="4"/>
      <x v="6"/>
      <x v="2"/>
      <x v="5"/>
      <x v="2"/>
      <x v="2"/>
      <x/>
    </i>
    <i r="4">
      <x v="3"/>
      <x/>
      <x v="3"/>
      <x v="3"/>
      <x/>
      <x v="4"/>
      <x v="3"/>
      <x v="5"/>
      <x v="2"/>
      <x v="2"/>
      <x/>
    </i>
    <i r="9">
      <x v="7"/>
      <x v="3"/>
      <x v="5"/>
      <x v="2"/>
      <x v="2"/>
      <x/>
    </i>
    <i r="9">
      <x v="8"/>
      <x v="3"/>
      <x v="5"/>
      <x v="2"/>
      <x v="2"/>
      <x/>
    </i>
    <i r="2">
      <x v="16"/>
      <x v="16"/>
      <x v="1"/>
      <x/>
      <x v="3"/>
      <x v="3"/>
      <x/>
      <x/>
      <x v="3"/>
      <x v="8"/>
      <x/>
      <x v="2"/>
      <x v="7"/>
    </i>
    <i r="4">
      <x v="3"/>
      <x/>
      <x v="3"/>
      <x v="3"/>
      <x/>
      <x v="4"/>
      <x v="3"/>
      <x v="5"/>
      <x v="2"/>
      <x v="2"/>
      <x/>
    </i>
    <i r="9">
      <x v="8"/>
      <x v="3"/>
      <x v="5"/>
      <x v="2"/>
      <x v="2"/>
      <x/>
    </i>
    <i r="9">
      <x v="9"/>
      <x v="3"/>
      <x v="5"/>
      <x v="2"/>
      <x v="2"/>
      <x/>
    </i>
    <i r="9">
      <x v="10"/>
      <x v="3"/>
      <x v="5"/>
      <x v="2"/>
      <x v="2"/>
      <x/>
    </i>
    <i r="2">
      <x v="17"/>
      <x v="17"/>
      <x v="3"/>
      <x/>
      <x v="3"/>
      <x v="3"/>
      <x/>
      <x v="4"/>
      <x v="3"/>
      <x v="5"/>
      <x v="2"/>
      <x v="2"/>
      <x/>
    </i>
    <i r="9">
      <x v="5"/>
      <x v="3"/>
      <x v="5"/>
      <x v="2"/>
      <x v="2"/>
      <x/>
    </i>
    <i r="9">
      <x v="8"/>
      <x v="3"/>
      <x v="5"/>
      <x v="2"/>
      <x v="2"/>
      <x/>
    </i>
    <i r="2">
      <x v="18"/>
      <x v="18"/>
      <x v="1"/>
      <x/>
      <x v="3"/>
      <x v="3"/>
      <x/>
      <x/>
      <x v="3"/>
      <x v="6"/>
      <x/>
      <x v="2"/>
      <x v="4"/>
    </i>
    <i r="4">
      <x v="3"/>
      <x/>
      <x v="3"/>
      <x v="3"/>
      <x/>
      <x v="8"/>
      <x v="3"/>
      <x v="5"/>
      <x v="2"/>
      <x v="2"/>
      <x/>
    </i>
    <i r="2">
      <x v="19"/>
      <x v="19"/>
      <x v="3"/>
      <x/>
      <x v="3"/>
      <x v="3"/>
      <x/>
      <x v="8"/>
      <x v="3"/>
      <x v="5"/>
      <x v="2"/>
      <x v="2"/>
      <x/>
    </i>
    <i r="2">
      <x v="20"/>
      <x v="20"/>
      <x v="3"/>
      <x/>
      <x v="3"/>
      <x v="3"/>
      <x/>
      <x v="8"/>
      <x v="3"/>
      <x v="5"/>
      <x v="2"/>
      <x v="2"/>
      <x/>
    </i>
    <i r="2">
      <x v="21"/>
      <x v="21"/>
      <x v="3"/>
      <x/>
      <x v="3"/>
      <x v="3"/>
      <x/>
      <x v="8"/>
      <x v="3"/>
      <x v="5"/>
      <x v="2"/>
      <x v="2"/>
      <x/>
    </i>
    <i r="2">
      <x v="22"/>
      <x v="22"/>
      <x v="3"/>
      <x/>
      <x v="3"/>
      <x v="3"/>
      <x/>
      <x v="8"/>
      <x v="3"/>
      <x v="5"/>
      <x v="2"/>
      <x v="2"/>
      <x/>
    </i>
    <i r="2">
      <x v="23"/>
      <x v="23"/>
      <x v="3"/>
      <x/>
      <x v="3"/>
      <x v="3"/>
      <x/>
      <x v="8"/>
      <x v="3"/>
      <x v="5"/>
      <x v="2"/>
      <x v="2"/>
      <x/>
    </i>
    <i r="9">
      <x v="11"/>
      <x v="3"/>
      <x v="5"/>
      <x v="2"/>
      <x v="2"/>
      <x/>
    </i>
    <i r="2">
      <x v="24"/>
      <x v="24"/>
      <x v="3"/>
      <x/>
      <x v="3"/>
      <x v="3"/>
      <x/>
      <x v="8"/>
      <x v="3"/>
      <x v="5"/>
      <x v="2"/>
      <x v="2"/>
      <x/>
    </i>
    <i r="2">
      <x v="25"/>
      <x v="25"/>
      <x v="2"/>
      <x v="2"/>
      <x v="4"/>
      <x v="4"/>
      <x v="4"/>
      <x v="12"/>
      <x v="2"/>
      <x v="5"/>
      <x v="2"/>
      <x v="2"/>
      <x/>
    </i>
    <i r="4">
      <x v="3"/>
      <x/>
      <x v="3"/>
      <x v="3"/>
      <x/>
      <x v="13"/>
      <x v="3"/>
      <x v="5"/>
      <x v="2"/>
      <x v="2"/>
      <x/>
    </i>
    <i r="2">
      <x v="26"/>
      <x v="26"/>
      <x v="1"/>
      <x/>
      <x v="3"/>
      <x v="3"/>
      <x/>
      <x/>
      <x v="3"/>
      <x v="9"/>
      <x/>
      <x v="2"/>
      <x v="8"/>
    </i>
    <i r="4">
      <x v="3"/>
      <x/>
      <x v="3"/>
      <x v="3"/>
      <x/>
      <x v="14"/>
      <x v="3"/>
      <x v="5"/>
      <x v="2"/>
      <x v="2"/>
      <x/>
    </i>
    <i r="2">
      <x v="27"/>
      <x v="27"/>
      <x v="1"/>
      <x/>
      <x v="3"/>
      <x v="3"/>
      <x/>
      <x/>
      <x v="3"/>
      <x v="8"/>
      <x/>
      <x v="2"/>
      <x v="9"/>
    </i>
    <i r="2">
      <x v="28"/>
      <x v="28"/>
      <x v="3"/>
      <x/>
      <x v="3"/>
      <x v="3"/>
      <x/>
      <x v="15"/>
      <x v="3"/>
      <x v="5"/>
      <x v="2"/>
      <x v="2"/>
      <x/>
    </i>
    <i r="2">
      <x v="29"/>
      <x v="29"/>
      <x v="3"/>
      <x/>
      <x v="3"/>
      <x v="3"/>
      <x/>
      <x v="16"/>
      <x v="3"/>
      <x v="5"/>
      <x v="2"/>
      <x v="2"/>
      <x/>
    </i>
    <i r="2">
      <x v="30"/>
      <x v="30"/>
      <x v="2"/>
      <x v="3"/>
      <x v="5"/>
      <x v="5"/>
      <x v="5"/>
      <x v="17"/>
      <x v="2"/>
      <x v="5"/>
      <x v="2"/>
      <x v="2"/>
      <x/>
    </i>
    <i r="4">
      <x v="3"/>
      <x/>
      <x v="3"/>
      <x v="3"/>
      <x/>
      <x v="16"/>
      <x v="3"/>
      <x v="5"/>
      <x v="2"/>
      <x v="2"/>
      <x/>
    </i>
    <i r="2">
      <x v="31"/>
      <x v="31"/>
      <x v="1"/>
      <x/>
      <x v="3"/>
      <x v="3"/>
      <x/>
      <x/>
      <x v="3"/>
      <x v="8"/>
      <x/>
      <x v="2"/>
      <x v="10"/>
    </i>
    <i r="2">
      <x v="32"/>
      <x v="32"/>
      <x v="1"/>
      <x/>
      <x v="3"/>
      <x v="3"/>
      <x/>
      <x/>
      <x v="3"/>
      <x v="9"/>
      <x/>
      <x v="2"/>
      <x v="11"/>
    </i>
    <i r="4">
      <x v="2"/>
      <x v="4"/>
      <x v="6"/>
      <x v="6"/>
      <x v="4"/>
      <x v="18"/>
      <x v="2"/>
      <x v="5"/>
      <x v="2"/>
      <x v="2"/>
      <x/>
    </i>
    <i r="2">
      <x v="33"/>
      <x v="33"/>
      <x v="1"/>
      <x/>
      <x v="3"/>
      <x v="3"/>
      <x/>
      <x/>
      <x v="3"/>
      <x v="8"/>
      <x/>
      <x v="2"/>
      <x v="12"/>
    </i>
    <i r="4">
      <x v="3"/>
      <x/>
      <x v="3"/>
      <x v="3"/>
      <x/>
      <x v="16"/>
      <x v="3"/>
      <x v="5"/>
      <x v="2"/>
      <x v="2"/>
      <x/>
    </i>
    <i r="2">
      <x v="34"/>
      <x v="34"/>
      <x v="2"/>
      <x v="5"/>
      <x v="7"/>
      <x v="7"/>
      <x v="6"/>
      <x v="18"/>
      <x v="2"/>
      <x v="5"/>
      <x v="2"/>
      <x v="2"/>
      <x/>
    </i>
    <i r="2">
      <x v="35"/>
      <x v="35"/>
      <x v="1"/>
      <x/>
      <x v="3"/>
      <x v="3"/>
      <x/>
      <x/>
      <x v="3"/>
      <x v="8"/>
      <x/>
      <x v="2"/>
      <x v="13"/>
    </i>
    <i r="2">
      <x v="36"/>
      <x v="36"/>
      <x v="1"/>
      <x/>
      <x v="3"/>
      <x v="3"/>
      <x/>
      <x/>
      <x v="3"/>
      <x v="8"/>
      <x/>
      <x v="2"/>
      <x v="14"/>
    </i>
    <i r="2">
      <x v="37"/>
      <x v="37"/>
      <x v="2"/>
      <x v="4"/>
      <x v="8"/>
      <x v="8"/>
      <x v="6"/>
      <x v="18"/>
      <x v="2"/>
      <x v="5"/>
      <x v="2"/>
      <x v="2"/>
      <x/>
    </i>
    <i r="2">
      <x v="38"/>
      <x v="38"/>
      <x v="2"/>
      <x/>
      <x v="9"/>
      <x v="9"/>
      <x v="7"/>
      <x v="12"/>
      <x v="2"/>
      <x v="5"/>
      <x v="2"/>
      <x v="2"/>
      <x/>
    </i>
    <i r="2">
      <x v="39"/>
      <x v="39"/>
      <x v="2"/>
      <x v="2"/>
      <x v="9"/>
      <x v="9"/>
      <x v="7"/>
      <x v="12"/>
      <x v="2"/>
      <x v="5"/>
      <x v="2"/>
      <x v="2"/>
      <x/>
    </i>
    <i r="2">
      <x v="40"/>
      <x v="40"/>
      <x v="1"/>
      <x/>
      <x v="3"/>
      <x v="3"/>
      <x/>
      <x/>
      <x v="3"/>
      <x v="8"/>
      <x/>
      <x v="2"/>
      <x v="15"/>
    </i>
    <i r="2">
      <x v="41"/>
      <x v="41"/>
      <x v="2"/>
      <x v="6"/>
      <x v="10"/>
      <x v="10"/>
      <x v="8"/>
      <x v="17"/>
      <x v="2"/>
      <x v="5"/>
      <x v="2"/>
      <x v="2"/>
      <x/>
    </i>
    <i r="2">
      <x v="42"/>
      <x v="42"/>
      <x v="1"/>
      <x/>
      <x v="3"/>
      <x v="3"/>
      <x/>
      <x/>
      <x v="3"/>
      <x v="8"/>
      <x/>
      <x v="2"/>
      <x v="16"/>
    </i>
    <i r="2">
      <x v="43"/>
      <x v="43"/>
      <x v="1"/>
      <x/>
      <x v="3"/>
      <x v="3"/>
      <x/>
      <x/>
      <x v="3"/>
      <x v="8"/>
      <x/>
      <x v="2"/>
      <x v="17"/>
    </i>
    <i r="11">
      <x v="10"/>
      <x/>
      <x v="2"/>
      <x v="18"/>
    </i>
    <i r="4">
      <x v="2"/>
      <x v="7"/>
      <x v="11"/>
      <x v="11"/>
      <x v="8"/>
      <x v="18"/>
      <x v="2"/>
      <x v="5"/>
      <x v="2"/>
      <x v="2"/>
      <x/>
    </i>
    <i r="2">
      <x v="44"/>
      <x v="44"/>
      <x v="3"/>
      <x/>
      <x v="3"/>
      <x v="3"/>
      <x/>
      <x v="19"/>
      <x v="3"/>
      <x v="5"/>
      <x v="2"/>
      <x v="2"/>
      <x/>
    </i>
    <i r="9">
      <x v="20"/>
      <x v="3"/>
      <x v="5"/>
      <x v="2"/>
      <x v="2"/>
      <x/>
    </i>
    <i r="2">
      <x v="45"/>
      <x v="45"/>
      <x v="1"/>
      <x/>
      <x v="3"/>
      <x v="3"/>
      <x/>
      <x/>
      <x v="3"/>
      <x v="10"/>
      <x/>
      <x v="2"/>
      <x v="19"/>
    </i>
    <i r="2">
      <x v="46"/>
      <x v="46"/>
      <x v="3"/>
      <x/>
      <x v="3"/>
      <x v="3"/>
      <x/>
      <x v="21"/>
      <x v="3"/>
      <x v="5"/>
      <x v="2"/>
      <x v="2"/>
      <x/>
    </i>
    <i r="2">
      <x v="47"/>
      <x v="47"/>
      <x v="1"/>
      <x/>
      <x v="3"/>
      <x v="3"/>
      <x/>
      <x/>
      <x v="3"/>
      <x v="8"/>
      <x/>
      <x v="2"/>
      <x v="20"/>
    </i>
    <i r="2">
      <x v="48"/>
      <x v="48"/>
      <x v="2"/>
      <x v="8"/>
      <x v="12"/>
      <x v="12"/>
      <x v="9"/>
      <x v="22"/>
      <x v="2"/>
      <x v="5"/>
      <x v="2"/>
      <x v="2"/>
      <x/>
    </i>
    <i r="2">
      <x v="49"/>
      <x v="49"/>
      <x v="1"/>
      <x/>
      <x v="3"/>
      <x v="3"/>
      <x/>
      <x/>
      <x v="3"/>
      <x v="8"/>
      <x/>
      <x v="2"/>
      <x v="21"/>
    </i>
    <i r="2">
      <x v="50"/>
      <x v="50"/>
      <x v="2"/>
      <x v="9"/>
      <x v="13"/>
      <x v="13"/>
      <x v="10"/>
      <x v="18"/>
      <x v="2"/>
      <x v="5"/>
      <x v="2"/>
      <x v="2"/>
      <x/>
    </i>
    <i r="2">
      <x v="51"/>
      <x v="51"/>
      <x v="2"/>
      <x v="7"/>
      <x v="14"/>
      <x v="14"/>
      <x v="9"/>
      <x v="18"/>
      <x v="2"/>
      <x v="5"/>
      <x v="2"/>
      <x v="2"/>
      <x/>
    </i>
    <i r="2">
      <x v="52"/>
      <x v="52"/>
      <x v="2"/>
      <x v="10"/>
      <x v="15"/>
      <x v="15"/>
      <x v="9"/>
      <x v="18"/>
      <x v="2"/>
      <x v="5"/>
      <x v="2"/>
      <x v="2"/>
      <x/>
    </i>
    <i r="2">
      <x v="53"/>
      <x v="53"/>
      <x v="1"/>
      <x/>
      <x v="3"/>
      <x v="3"/>
      <x/>
      <x/>
      <x v="3"/>
      <x v="10"/>
      <x/>
      <x v="2"/>
      <x v="22"/>
    </i>
    <i r="2">
      <x v="54"/>
      <x v="54"/>
      <x v="2"/>
      <x v="11"/>
      <x v="16"/>
      <x v="16"/>
      <x v="11"/>
      <x v="18"/>
      <x v="2"/>
      <x v="5"/>
      <x v="2"/>
      <x v="2"/>
      <x/>
    </i>
    <i r="2">
      <x v="55"/>
      <x v="55"/>
      <x v="1"/>
      <x/>
      <x v="3"/>
      <x v="3"/>
      <x/>
      <x/>
      <x v="3"/>
      <x v="10"/>
      <x/>
      <x v="2"/>
      <x v="19"/>
    </i>
    <i r="2">
      <x v="56"/>
      <x v="56"/>
      <x v="2"/>
      <x/>
      <x v="17"/>
      <x v="17"/>
      <x v="11"/>
      <x v="12"/>
      <x v="2"/>
      <x v="5"/>
      <x v="2"/>
      <x v="2"/>
      <x/>
    </i>
    <i r="2">
      <x v="57"/>
      <x v="57"/>
      <x v="2"/>
      <x v="12"/>
      <x v="17"/>
      <x v="17"/>
      <x v="11"/>
      <x v="12"/>
      <x v="2"/>
      <x v="5"/>
      <x v="2"/>
      <x v="2"/>
      <x/>
    </i>
    <i r="2">
      <x v="58"/>
      <x v="58"/>
      <x v="1"/>
      <x/>
      <x v="3"/>
      <x v="3"/>
      <x/>
      <x/>
      <x v="3"/>
      <x v="8"/>
      <x/>
      <x v="2"/>
      <x v="23"/>
    </i>
    <i r="11">
      <x v="10"/>
      <x/>
      <x v="2"/>
      <x v="24"/>
    </i>
    <i r="2">
      <x v="59"/>
      <x v="59"/>
      <x v="2"/>
      <x v="13"/>
      <x v="18"/>
      <x v="18"/>
      <x v="11"/>
      <x v="18"/>
      <x v="2"/>
      <x v="5"/>
      <x v="2"/>
      <x v="2"/>
      <x/>
    </i>
    <i r="2">
      <x v="60"/>
      <x v="60"/>
      <x v="1"/>
      <x/>
      <x v="3"/>
      <x v="3"/>
      <x/>
      <x/>
      <x v="3"/>
      <x v="9"/>
      <x/>
      <x v="2"/>
      <x v="25"/>
    </i>
    <i r="4">
      <x v="2"/>
      <x v="14"/>
      <x v="19"/>
      <x v="19"/>
      <x v="11"/>
      <x v="18"/>
      <x v="2"/>
      <x v="5"/>
      <x v="2"/>
      <x v="2"/>
      <x/>
    </i>
    <i r="2">
      <x v="61"/>
      <x v="61"/>
      <x v="1"/>
      <x/>
      <x v="3"/>
      <x v="3"/>
      <x/>
      <x/>
      <x v="3"/>
      <x v="10"/>
      <x/>
      <x v="2"/>
      <x v="26"/>
    </i>
    <i r="2">
      <x v="62"/>
      <x v="62"/>
      <x v="2"/>
      <x/>
      <x v="20"/>
      <x v="20"/>
      <x v="11"/>
      <x v="12"/>
      <x v="2"/>
      <x v="5"/>
      <x v="2"/>
      <x v="2"/>
      <x/>
    </i>
    <i r="2">
      <x v="63"/>
      <x v="63"/>
      <x v="2"/>
      <x/>
      <x v="21"/>
      <x v="21"/>
      <x v="11"/>
      <x v="22"/>
      <x v="2"/>
      <x v="5"/>
      <x v="2"/>
      <x v="2"/>
      <x/>
    </i>
    <i r="2">
      <x v="64"/>
      <x v="64"/>
      <x v="1"/>
      <x/>
      <x v="3"/>
      <x v="3"/>
      <x/>
      <x/>
      <x v="3"/>
      <x v="8"/>
      <x/>
      <x v="2"/>
      <x v="27"/>
    </i>
    <i r="2">
      <x v="65"/>
      <x v="65"/>
      <x v="2"/>
      <x v="15"/>
      <x v="21"/>
      <x v="21"/>
      <x v="11"/>
      <x v="12"/>
      <x v="2"/>
      <x v="5"/>
      <x v="2"/>
      <x v="2"/>
      <x/>
    </i>
    <i r="2">
      <x v="66"/>
      <x v="66"/>
      <x v="1"/>
      <x/>
      <x v="3"/>
      <x v="3"/>
      <x/>
      <x/>
      <x v="3"/>
      <x v="8"/>
      <x/>
      <x v="2"/>
      <x v="28"/>
    </i>
    <i r="2">
      <x v="67"/>
      <x v="67"/>
      <x v="1"/>
      <x/>
      <x v="3"/>
      <x v="3"/>
      <x/>
      <x/>
      <x v="3"/>
      <x v="8"/>
      <x/>
      <x v="2"/>
      <x v="29"/>
    </i>
    <i r="2">
      <x v="68"/>
      <x v="68"/>
      <x v="2"/>
      <x v="14"/>
      <x v="22"/>
      <x v="22"/>
      <x v="12"/>
      <x v="18"/>
      <x v="2"/>
      <x v="5"/>
      <x v="2"/>
      <x v="2"/>
      <x/>
    </i>
    <i r="2">
      <x v="69"/>
      <x v="69"/>
      <x v="1"/>
      <x/>
      <x v="3"/>
      <x v="3"/>
      <x/>
      <x/>
      <x v="3"/>
      <x v="8"/>
      <x/>
      <x v="2"/>
      <x v="30"/>
    </i>
    <i r="2">
      <x v="70"/>
      <x v="70"/>
      <x v="2"/>
      <x/>
      <x v="23"/>
      <x v="23"/>
      <x v="12"/>
      <x v="12"/>
      <x v="2"/>
      <x v="5"/>
      <x v="2"/>
      <x v="2"/>
      <x/>
    </i>
    <i r="2">
      <x v="71"/>
      <x v="71"/>
      <x v="1"/>
      <x/>
      <x v="3"/>
      <x v="3"/>
      <x/>
      <x/>
      <x v="3"/>
      <x v="10"/>
      <x/>
      <x v="2"/>
      <x v="31"/>
    </i>
    <i r="2">
      <x v="72"/>
      <x v="72"/>
      <x v="3"/>
      <x/>
      <x v="3"/>
      <x v="3"/>
      <x/>
      <x v="16"/>
      <x v="3"/>
      <x v="5"/>
      <x v="2"/>
      <x v="2"/>
      <x/>
    </i>
    <i r="2">
      <x v="73"/>
      <x v="73"/>
      <x v="1"/>
      <x/>
      <x v="3"/>
      <x v="3"/>
      <x/>
      <x/>
      <x v="3"/>
      <x v="8"/>
      <x/>
      <x v="2"/>
      <x v="32"/>
    </i>
    <i r="2">
      <x v="74"/>
      <x v="74"/>
      <x v="1"/>
      <x/>
      <x v="3"/>
      <x v="3"/>
      <x/>
      <x/>
      <x v="3"/>
      <x v="8"/>
      <x/>
      <x v="2"/>
      <x v="33"/>
    </i>
    <i r="4">
      <x v="2"/>
      <x/>
      <x v="23"/>
      <x v="23"/>
      <x v="12"/>
      <x v="18"/>
      <x v="2"/>
      <x v="5"/>
      <x v="2"/>
      <x v="2"/>
      <x/>
    </i>
    <i r="2">
      <x v="75"/>
      <x v="75"/>
      <x v="2"/>
      <x v="16"/>
      <x v="24"/>
      <x v="24"/>
      <x v="12"/>
      <x v="12"/>
      <x v="2"/>
      <x v="5"/>
      <x v="2"/>
      <x v="2"/>
      <x/>
    </i>
    <i r="2">
      <x v="76"/>
      <x v="76"/>
      <x v="2"/>
      <x v="17"/>
      <x v="25"/>
      <x v="23"/>
      <x v="12"/>
      <x v="22"/>
      <x v="2"/>
      <x v="5"/>
      <x v="2"/>
      <x v="2"/>
      <x/>
    </i>
    <i r="2">
      <x v="77"/>
      <x v="77"/>
      <x v="3"/>
      <x/>
      <x v="3"/>
      <x v="3"/>
      <x/>
      <x v="19"/>
      <x v="3"/>
      <x v="5"/>
      <x v="2"/>
      <x v="2"/>
      <x/>
    </i>
    <i r="2">
      <x v="78"/>
      <x v="78"/>
      <x v="2"/>
      <x v="18"/>
      <x v="26"/>
      <x v="25"/>
      <x v="13"/>
      <x v="17"/>
      <x v="2"/>
      <x v="5"/>
      <x v="2"/>
      <x v="2"/>
      <x/>
    </i>
    <i r="2">
      <x v="79"/>
      <x v="79"/>
      <x v="1"/>
      <x/>
      <x v="3"/>
      <x v="3"/>
      <x/>
      <x/>
      <x v="3"/>
      <x v="8"/>
      <x/>
      <x v="2"/>
      <x v="34"/>
    </i>
    <i r="2">
      <x v="80"/>
      <x v="80"/>
      <x v="1"/>
      <x/>
      <x v="3"/>
      <x v="3"/>
      <x/>
      <x/>
      <x v="3"/>
      <x v="8"/>
      <x/>
      <x v="2"/>
      <x v="35"/>
    </i>
    <i r="2">
      <x v="81"/>
      <x v="81"/>
      <x v="2"/>
      <x v="8"/>
      <x v="27"/>
      <x v="26"/>
      <x v="14"/>
      <x v="17"/>
      <x v="2"/>
      <x v="5"/>
      <x v="2"/>
      <x v="2"/>
      <x/>
    </i>
    <i r="2">
      <x v="82"/>
      <x v="82"/>
      <x v="2"/>
      <x v="8"/>
      <x v="28"/>
      <x v="27"/>
      <x v="15"/>
      <x v="17"/>
      <x v="2"/>
      <x v="5"/>
      <x v="2"/>
      <x v="2"/>
      <x/>
    </i>
    <i r="2">
      <x v="83"/>
      <x v="83"/>
      <x v="2"/>
      <x v="19"/>
      <x v="29"/>
      <x v="28"/>
      <x v="13"/>
      <x v="18"/>
      <x v="2"/>
      <x v="5"/>
      <x v="2"/>
      <x v="2"/>
      <x/>
    </i>
    <i r="2">
      <x v="84"/>
      <x v="84"/>
      <x v="2"/>
      <x v="20"/>
      <x v="30"/>
      <x v="29"/>
      <x v="13"/>
      <x v="17"/>
      <x v="2"/>
      <x v="5"/>
      <x v="2"/>
      <x v="2"/>
      <x/>
    </i>
    <i r="2">
      <x v="85"/>
      <x v="85"/>
      <x v="2"/>
      <x v="19"/>
      <x v="31"/>
      <x v="30"/>
      <x v="16"/>
      <x v="18"/>
      <x v="2"/>
      <x v="5"/>
      <x v="2"/>
      <x v="2"/>
      <x/>
    </i>
    <i r="2">
      <x v="86"/>
      <x v="86"/>
      <x v="2"/>
      <x v="8"/>
      <x v="32"/>
      <x v="31"/>
      <x v="16"/>
      <x v="17"/>
      <x v="2"/>
      <x v="5"/>
      <x v="2"/>
      <x v="2"/>
      <x/>
    </i>
    <i r="2">
      <x v="87"/>
      <x v="87"/>
      <x v="2"/>
      <x/>
      <x v="33"/>
      <x v="32"/>
      <x v="16"/>
      <x v="12"/>
      <x v="2"/>
      <x v="5"/>
      <x v="2"/>
      <x v="2"/>
      <x/>
    </i>
    <i r="2">
      <x v="88"/>
      <x v="88"/>
      <x v="2"/>
      <x/>
      <x v="33"/>
      <x v="32"/>
      <x v="16"/>
      <x v="22"/>
      <x v="2"/>
      <x v="5"/>
      <x v="2"/>
      <x v="2"/>
      <x/>
    </i>
    <i r="2">
      <x v="89"/>
      <x v="89"/>
      <x v="1"/>
      <x/>
      <x v="3"/>
      <x v="3"/>
      <x/>
      <x/>
      <x v="3"/>
      <x v="9"/>
      <x/>
      <x v="2"/>
      <x v="36"/>
    </i>
    <i r="2">
      <x v="90"/>
      <x v="90"/>
      <x v="1"/>
      <x/>
      <x v="3"/>
      <x v="3"/>
      <x/>
      <x/>
      <x v="3"/>
      <x v="8"/>
      <x/>
      <x v="2"/>
      <x v="37"/>
    </i>
    <i r="2">
      <x v="91"/>
      <x v="91"/>
      <x v="2"/>
      <x v="15"/>
      <x v="33"/>
      <x v="33"/>
      <x v="16"/>
      <x v="12"/>
      <x v="2"/>
      <x v="5"/>
      <x v="2"/>
      <x v="2"/>
      <x/>
    </i>
    <i r="2">
      <x v="92"/>
      <x v="92"/>
      <x v="2"/>
      <x v="21"/>
      <x v="34"/>
      <x v="34"/>
      <x v="16"/>
      <x v="17"/>
      <x v="2"/>
      <x v="5"/>
      <x v="2"/>
      <x v="2"/>
      <x/>
    </i>
    <i r="2">
      <x v="93"/>
      <x v="93"/>
      <x v="2"/>
      <x v="21"/>
      <x v="35"/>
      <x v="35"/>
      <x v="16"/>
      <x v="18"/>
      <x v="2"/>
      <x v="5"/>
      <x v="2"/>
      <x v="2"/>
      <x/>
    </i>
    <i r="2">
      <x v="94"/>
      <x v="94"/>
      <x v="1"/>
      <x/>
      <x v="3"/>
      <x v="3"/>
      <x/>
      <x/>
      <x v="3"/>
      <x v="8"/>
      <x/>
      <x v="2"/>
      <x v="38"/>
    </i>
    <i r="2">
      <x v="95"/>
      <x v="95"/>
      <x v="2"/>
      <x v="22"/>
      <x v="36"/>
      <x v="36"/>
      <x v="16"/>
      <x v="17"/>
      <x v="2"/>
      <x v="5"/>
      <x v="2"/>
      <x v="2"/>
      <x/>
    </i>
    <i r="2">
      <x v="96"/>
      <x v="96"/>
      <x v="2"/>
      <x v="20"/>
      <x v="37"/>
      <x v="37"/>
      <x v="16"/>
      <x v="18"/>
      <x v="2"/>
      <x v="5"/>
      <x v="2"/>
      <x v="2"/>
      <x/>
    </i>
    <i r="2">
      <x v="97"/>
      <x v="97"/>
      <x v="2"/>
      <x/>
      <x v="38"/>
      <x v="38"/>
      <x v="16"/>
      <x v="12"/>
      <x v="2"/>
      <x v="5"/>
      <x v="2"/>
      <x v="2"/>
      <x/>
    </i>
    <i r="2">
      <x v="98"/>
      <x v="98"/>
      <x v="2"/>
      <x/>
      <x v="38"/>
      <x v="38"/>
      <x v="16"/>
      <x v="22"/>
      <x v="2"/>
      <x v="5"/>
      <x v="2"/>
      <x v="2"/>
      <x/>
    </i>
    <i r="2">
      <x v="99"/>
      <x v="99"/>
      <x v="2"/>
      <x v="2"/>
      <x v="39"/>
      <x v="39"/>
      <x v="16"/>
      <x v="12"/>
      <x v="2"/>
      <x v="5"/>
      <x v="2"/>
      <x v="2"/>
      <x/>
    </i>
    <i r="2">
      <x v="100"/>
      <x v="100"/>
      <x v="1"/>
      <x/>
      <x v="3"/>
      <x v="3"/>
      <x/>
      <x/>
      <x v="3"/>
      <x v="8"/>
      <x/>
      <x v="2"/>
      <x v="39"/>
    </i>
    <i r="2">
      <x v="101"/>
      <x v="101"/>
      <x v="2"/>
      <x v="13"/>
      <x v="40"/>
      <x v="40"/>
      <x v="17"/>
      <x v="18"/>
      <x v="2"/>
      <x v="5"/>
      <x v="2"/>
      <x v="2"/>
      <x/>
    </i>
    <i r="2">
      <x v="102"/>
      <x v="102"/>
      <x v="1"/>
      <x/>
      <x v="3"/>
      <x v="3"/>
      <x/>
      <x/>
      <x v="3"/>
      <x v="8"/>
      <x/>
      <x v="2"/>
      <x v="40"/>
    </i>
    <i r="2">
      <x v="103"/>
      <x v="103"/>
      <x v="1"/>
      <x/>
      <x v="3"/>
      <x v="3"/>
      <x/>
      <x/>
      <x v="3"/>
      <x v="11"/>
      <x/>
      <x v="2"/>
      <x v="2"/>
    </i>
    <i r="2">
      <x v="104"/>
      <x v="104"/>
      <x v="2"/>
      <x v="23"/>
      <x v="41"/>
      <x v="41"/>
      <x v="16"/>
      <x v="18"/>
      <x v="2"/>
      <x v="5"/>
      <x v="2"/>
      <x v="2"/>
      <x/>
    </i>
    <i r="2">
      <x v="105"/>
      <x v="105"/>
      <x v="2"/>
      <x/>
      <x v="42"/>
      <x v="40"/>
      <x v="16"/>
      <x v="12"/>
      <x v="2"/>
      <x v="5"/>
      <x v="2"/>
      <x v="2"/>
      <x/>
    </i>
    <i r="2">
      <x v="106"/>
      <x v="106"/>
      <x v="3"/>
      <x/>
      <x v="3"/>
      <x v="3"/>
      <x/>
      <x v="23"/>
      <x v="3"/>
      <x v="5"/>
      <x v="2"/>
      <x v="2"/>
      <x/>
    </i>
    <i r="2">
      <x v="107"/>
      <x v="107"/>
      <x v="3"/>
      <x/>
      <x v="3"/>
      <x v="3"/>
      <x/>
      <x v="24"/>
      <x v="3"/>
      <x v="5"/>
      <x v="2"/>
      <x v="2"/>
      <x/>
    </i>
    <i r="9">
      <x v="25"/>
      <x v="3"/>
      <x v="5"/>
      <x v="2"/>
      <x v="2"/>
      <x/>
    </i>
    <i r="2">
      <x v="108"/>
      <x v="108"/>
      <x v="3"/>
      <x/>
      <x v="3"/>
      <x v="3"/>
      <x/>
      <x v="23"/>
      <x v="3"/>
      <x v="5"/>
      <x v="2"/>
      <x v="2"/>
      <x/>
    </i>
    <i r="2">
      <x v="109"/>
      <x v="109"/>
      <x v="3"/>
      <x/>
      <x v="3"/>
      <x v="3"/>
      <x/>
      <x v="25"/>
      <x v="3"/>
      <x v="5"/>
      <x v="2"/>
      <x v="2"/>
      <x/>
    </i>
    <i r="2">
      <x v="110"/>
      <x v="110"/>
      <x v="2"/>
      <x v="2"/>
      <x v="43"/>
      <x v="42"/>
      <x v="16"/>
      <x v="12"/>
      <x v="2"/>
      <x v="5"/>
      <x v="2"/>
      <x v="2"/>
      <x/>
    </i>
    <i r="2">
      <x v="111"/>
      <x v="111"/>
      <x v="2"/>
      <x/>
      <x v="43"/>
      <x v="43"/>
      <x v="16"/>
      <x v="12"/>
      <x v="2"/>
      <x v="5"/>
      <x v="2"/>
      <x v="2"/>
      <x/>
    </i>
    <i r="2">
      <x v="112"/>
      <x v="112"/>
      <x v="2"/>
      <x v="15"/>
      <x v="43"/>
      <x v="43"/>
      <x v="16"/>
      <x v="12"/>
      <x v="2"/>
      <x v="5"/>
      <x v="2"/>
      <x v="2"/>
      <x/>
    </i>
    <i r="2">
      <x v="113"/>
      <x v="113"/>
      <x v="2"/>
      <x/>
      <x v="43"/>
      <x v="42"/>
      <x v="16"/>
      <x v="12"/>
      <x v="2"/>
      <x v="5"/>
      <x v="2"/>
      <x v="2"/>
      <x/>
    </i>
    <i r="2">
      <x v="114"/>
      <x v="114"/>
      <x v="2"/>
      <x v="15"/>
      <x v="43"/>
      <x v="42"/>
      <x v="16"/>
      <x v="12"/>
      <x v="2"/>
      <x v="5"/>
      <x v="2"/>
      <x v="2"/>
      <x/>
    </i>
    <i r="2">
      <x v="115"/>
      <x v="115"/>
      <x v="2"/>
      <x/>
      <x v="43"/>
      <x v="42"/>
      <x v="16"/>
      <x v="12"/>
      <x v="2"/>
      <x v="5"/>
      <x v="2"/>
      <x v="2"/>
      <x/>
    </i>
    <i r="2">
      <x v="116"/>
      <x v="116"/>
      <x v="2"/>
      <x/>
      <x v="43"/>
      <x v="43"/>
      <x v="16"/>
      <x v="22"/>
      <x v="2"/>
      <x v="5"/>
      <x v="2"/>
      <x v="2"/>
      <x/>
    </i>
    <i r="2">
      <x v="117"/>
      <x v="117"/>
      <x v="3"/>
      <x/>
      <x v="3"/>
      <x v="3"/>
      <x/>
      <x v="23"/>
      <x v="3"/>
      <x v="5"/>
      <x v="2"/>
      <x v="2"/>
      <x/>
    </i>
    <i r="2">
      <x v="118"/>
      <x v="118"/>
      <x v="3"/>
      <x/>
      <x v="3"/>
      <x v="3"/>
      <x/>
      <x v="25"/>
      <x v="3"/>
      <x v="5"/>
      <x v="2"/>
      <x v="2"/>
      <x/>
    </i>
    <i r="2">
      <x v="119"/>
      <x v="119"/>
      <x v="3"/>
      <x/>
      <x v="3"/>
      <x v="3"/>
      <x/>
      <x v="23"/>
      <x v="3"/>
      <x v="5"/>
      <x v="2"/>
      <x v="2"/>
      <x/>
    </i>
    <i r="2">
      <x v="120"/>
      <x v="120"/>
      <x v="3"/>
      <x/>
      <x v="3"/>
      <x v="3"/>
      <x/>
      <x v="25"/>
      <x v="3"/>
      <x v="5"/>
      <x v="2"/>
      <x v="2"/>
      <x/>
    </i>
    <i r="2">
      <x v="121"/>
      <x v="121"/>
      <x v="3"/>
      <x/>
      <x v="3"/>
      <x v="3"/>
      <x/>
      <x v="23"/>
      <x v="3"/>
      <x v="5"/>
      <x v="2"/>
      <x v="2"/>
      <x/>
    </i>
    <i r="2">
      <x v="122"/>
      <x v="122"/>
      <x v="3"/>
      <x/>
      <x v="3"/>
      <x v="3"/>
      <x/>
      <x v="25"/>
      <x v="3"/>
      <x v="5"/>
      <x v="2"/>
      <x v="2"/>
      <x/>
    </i>
    <i r="2">
      <x v="123"/>
      <x v="123"/>
      <x v="3"/>
      <x/>
      <x v="3"/>
      <x v="3"/>
      <x/>
      <x v="23"/>
      <x v="3"/>
      <x v="5"/>
      <x v="2"/>
      <x v="2"/>
      <x/>
    </i>
    <i r="2">
      <x v="124"/>
      <x v="124"/>
      <x v="3"/>
      <x/>
      <x v="3"/>
      <x v="3"/>
      <x/>
      <x v="26"/>
      <x v="3"/>
      <x v="5"/>
      <x v="2"/>
      <x v="2"/>
      <x/>
    </i>
    <i r="2">
      <x v="125"/>
      <x v="125"/>
      <x v="2"/>
      <x v="15"/>
      <x v="43"/>
      <x v="41"/>
      <x v="16"/>
      <x v="12"/>
      <x v="2"/>
      <x v="5"/>
      <x v="2"/>
      <x v="2"/>
      <x/>
    </i>
    <i r="2">
      <x v="126"/>
      <x v="126"/>
      <x v="2"/>
      <x/>
      <x v="43"/>
      <x v="43"/>
      <x v="16"/>
      <x v="12"/>
      <x v="2"/>
      <x v="5"/>
      <x v="2"/>
      <x v="2"/>
      <x/>
    </i>
    <i r="2">
      <x v="127"/>
      <x v="127"/>
      <x v="2"/>
      <x v="15"/>
      <x v="42"/>
      <x v="44"/>
      <x v="16"/>
      <x v="12"/>
      <x v="2"/>
      <x v="5"/>
      <x v="2"/>
      <x v="2"/>
      <x/>
    </i>
    <i r="2">
      <x v="128"/>
      <x v="128"/>
      <x v="2"/>
      <x/>
      <x v="42"/>
      <x v="44"/>
      <x v="16"/>
      <x v="12"/>
      <x v="2"/>
      <x v="5"/>
      <x v="2"/>
      <x v="2"/>
      <x/>
    </i>
    <i r="4">
      <x v="3"/>
      <x/>
      <x v="3"/>
      <x v="3"/>
      <x/>
      <x v="27"/>
      <x v="3"/>
      <x v="5"/>
      <x v="2"/>
      <x v="2"/>
      <x/>
    </i>
    <i r="2">
      <x v="129"/>
      <x v="129"/>
      <x v="2"/>
      <x v="2"/>
      <x v="42"/>
      <x v="44"/>
      <x v="16"/>
      <x v="12"/>
      <x v="2"/>
      <x v="5"/>
      <x v="2"/>
      <x v="2"/>
      <x/>
    </i>
    <i r="2">
      <x v="130"/>
      <x v="130"/>
      <x v="2"/>
      <x/>
      <x v="42"/>
      <x v="42"/>
      <x v="16"/>
      <x v="12"/>
      <x v="2"/>
      <x v="5"/>
      <x v="2"/>
      <x v="2"/>
      <x/>
    </i>
    <i r="2">
      <x v="131"/>
      <x v="131"/>
      <x v="2"/>
      <x v="2"/>
      <x v="42"/>
      <x v="42"/>
      <x v="16"/>
      <x v="12"/>
      <x v="2"/>
      <x v="5"/>
      <x v="2"/>
      <x v="2"/>
      <x/>
    </i>
    <i r="2">
      <x v="132"/>
      <x v="132"/>
      <x v="2"/>
      <x/>
      <x v="42"/>
      <x v="42"/>
      <x v="16"/>
      <x v="12"/>
      <x v="2"/>
      <x v="5"/>
      <x v="2"/>
      <x v="2"/>
      <x/>
    </i>
    <i r="2">
      <x v="133"/>
      <x v="133"/>
      <x v="3"/>
      <x/>
      <x v="3"/>
      <x v="3"/>
      <x/>
      <x v="16"/>
      <x v="3"/>
      <x v="5"/>
      <x v="2"/>
      <x v="2"/>
      <x/>
    </i>
    <i r="2">
      <x v="134"/>
      <x v="134"/>
      <x v="1"/>
      <x/>
      <x v="3"/>
      <x v="3"/>
      <x/>
      <x/>
      <x v="3"/>
      <x v="7"/>
      <x/>
      <x v="2"/>
      <x v="41"/>
    </i>
    <i r="4">
      <x v="2"/>
      <x/>
      <x v="41"/>
      <x v="44"/>
      <x v="16"/>
      <x v="28"/>
      <x v="1"/>
      <x v="5"/>
      <x v="2"/>
      <x v="2"/>
      <x/>
    </i>
    <i r="2">
      <x v="135"/>
      <x v="135"/>
      <x v="1"/>
      <x/>
      <x v="3"/>
      <x v="3"/>
      <x/>
      <x/>
      <x v="3"/>
      <x v="10"/>
      <x/>
      <x v="2"/>
      <x v="42"/>
    </i>
    <i r="11">
      <x v="12"/>
      <x/>
      <x v="2"/>
      <x v="43"/>
    </i>
    <i r="11">
      <x v="13"/>
      <x/>
      <x v="2"/>
      <x v="44"/>
    </i>
    <i r="11">
      <x v="14"/>
      <x/>
      <x v="2"/>
      <x v="43"/>
    </i>
    <i r="11">
      <x v="15"/>
      <x/>
      <x v="2"/>
      <x v="44"/>
    </i>
    <i r="4">
      <x v="3"/>
      <x/>
      <x v="3"/>
      <x v="3"/>
      <x/>
      <x v="29"/>
      <x v="3"/>
      <x v="5"/>
      <x v="2"/>
      <x v="2"/>
      <x/>
    </i>
    <i r="9">
      <x v="30"/>
      <x v="3"/>
      <x v="5"/>
      <x v="2"/>
      <x v="2"/>
      <x/>
    </i>
    <i r="9">
      <x v="31"/>
      <x v="3"/>
      <x v="5"/>
      <x v="2"/>
      <x v="2"/>
      <x/>
    </i>
    <i r="2">
      <x v="136"/>
      <x v="136"/>
      <x v="1"/>
      <x/>
      <x v="3"/>
      <x v="3"/>
      <x/>
      <x/>
      <x v="3"/>
      <x v="8"/>
      <x/>
      <x v="2"/>
      <x v="48"/>
    </i>
    <i r="11">
      <x v="16"/>
      <x/>
      <x v="2"/>
      <x v="45"/>
    </i>
    <i r="11">
      <x v="17"/>
      <x/>
      <x v="2"/>
      <x v="41"/>
    </i>
    <i r="11">
      <x v="18"/>
      <x/>
      <x v="2"/>
      <x v="46"/>
    </i>
    <i r="11">
      <x v="19"/>
      <x/>
      <x v="2"/>
      <x v="46"/>
    </i>
    <i r="11">
      <x v="20"/>
      <x/>
      <x v="2"/>
      <x v="47"/>
    </i>
    <i r="4">
      <x v="3"/>
      <x/>
      <x v="3"/>
      <x v="3"/>
      <x/>
      <x v="32"/>
      <x v="3"/>
      <x v="5"/>
      <x v="2"/>
      <x v="2"/>
      <x/>
    </i>
    <i r="2">
      <x v="137"/>
      <x v="137"/>
      <x v="3"/>
      <x/>
      <x v="3"/>
      <x v="3"/>
      <x/>
      <x v="33"/>
      <x v="3"/>
      <x v="5"/>
      <x v="2"/>
      <x v="2"/>
      <x/>
    </i>
    <i r="2">
      <x v="138"/>
      <x v="138"/>
      <x v="1"/>
      <x/>
      <x v="3"/>
      <x v="3"/>
      <x/>
      <x/>
      <x v="3"/>
      <x v="10"/>
      <x/>
      <x v="2"/>
      <x v="49"/>
    </i>
    <i r="2">
      <x v="139"/>
      <x v="139"/>
      <x v="3"/>
      <x/>
      <x v="3"/>
      <x v="3"/>
      <x/>
      <x v="16"/>
      <x v="3"/>
      <x v="5"/>
      <x v="2"/>
      <x v="2"/>
      <x/>
    </i>
    <i r="2">
      <x v="140"/>
      <x v="140"/>
      <x v="3"/>
      <x/>
      <x v="3"/>
      <x v="3"/>
      <x/>
      <x v="16"/>
      <x v="3"/>
      <x v="5"/>
      <x v="2"/>
      <x v="2"/>
      <x/>
    </i>
    <i r="2">
      <x v="141"/>
      <x v="141"/>
      <x v="1"/>
      <x/>
      <x v="3"/>
      <x v="3"/>
      <x/>
      <x/>
      <x v="3"/>
      <x v="10"/>
      <x/>
      <x v="2"/>
      <x v="50"/>
    </i>
    <i r="2">
      <x v="142"/>
      <x v="142"/>
      <x v="3"/>
      <x/>
      <x v="3"/>
      <x v="3"/>
      <x/>
      <x v="34"/>
      <x v="3"/>
      <x v="5"/>
      <x v="2"/>
      <x v="2"/>
      <x/>
    </i>
    <i r="9">
      <x v="35"/>
      <x v="3"/>
      <x v="5"/>
      <x v="2"/>
      <x v="2"/>
      <x/>
    </i>
    <i r="2">
      <x v="143"/>
      <x v="143"/>
      <x v="3"/>
      <x/>
      <x v="3"/>
      <x v="3"/>
      <x/>
      <x v="36"/>
      <x v="3"/>
      <x v="5"/>
      <x v="2"/>
      <x v="2"/>
      <x/>
    </i>
    <i r="2">
      <x v="144"/>
      <x v="144"/>
      <x v="2"/>
      <x/>
      <x v="42"/>
      <x v="44"/>
      <x v="16"/>
      <x v="37"/>
      <x v="1"/>
      <x v="5"/>
      <x v="2"/>
      <x v="2"/>
      <x/>
    </i>
    <i r="4">
      <x v="3"/>
      <x/>
      <x v="3"/>
      <x v="3"/>
      <x/>
      <x v="38"/>
      <x v="3"/>
      <x v="5"/>
      <x v="2"/>
      <x v="2"/>
      <x/>
    </i>
    <i r="2">
      <x v="145"/>
      <x v="145"/>
      <x v="1"/>
      <x/>
      <x v="3"/>
      <x v="3"/>
      <x/>
      <x/>
      <x v="3"/>
      <x v="10"/>
      <x/>
      <x v="2"/>
      <x v="51"/>
    </i>
    <i r="2">
      <x v="146"/>
      <x v="146"/>
      <x v="3"/>
      <x/>
      <x v="3"/>
      <x v="3"/>
      <x/>
      <x v="34"/>
      <x v="3"/>
      <x v="5"/>
      <x v="2"/>
      <x v="2"/>
      <x/>
    </i>
    <i r="2">
      <x v="147"/>
      <x v="147"/>
      <x v="1"/>
      <x/>
      <x v="3"/>
      <x v="3"/>
      <x/>
      <x/>
      <x v="3"/>
      <x v="10"/>
      <x/>
      <x v="2"/>
      <x v="50"/>
    </i>
    <i r="2">
      <x v="148"/>
      <x v="148"/>
      <x v="1"/>
      <x/>
      <x v="3"/>
      <x v="3"/>
      <x/>
      <x/>
      <x v="3"/>
      <x v="6"/>
      <x/>
      <x v="2"/>
      <x v="52"/>
    </i>
    <i r="2">
      <x v="149"/>
      <x v="149"/>
      <x v="1"/>
      <x/>
      <x v="3"/>
      <x v="3"/>
      <x/>
      <x/>
      <x v="3"/>
      <x v="6"/>
      <x/>
      <x v="2"/>
      <x v="52"/>
    </i>
    <i r="14">
      <x v="53"/>
    </i>
    <i r="4">
      <x v="3"/>
      <x/>
      <x v="3"/>
      <x v="3"/>
      <x/>
      <x v="16"/>
      <x v="3"/>
      <x v="5"/>
      <x v="2"/>
      <x v="2"/>
      <x/>
    </i>
    <i r="2">
      <x v="150"/>
      <x v="150"/>
      <x v="1"/>
      <x/>
      <x v="3"/>
      <x v="3"/>
      <x/>
      <x/>
      <x v="3"/>
      <x v="6"/>
      <x/>
      <x v="2"/>
      <x v="54"/>
    </i>
    <i r="14">
      <x v="55"/>
    </i>
    <i r="14">
      <x v="56"/>
    </i>
    <i r="4">
      <x v="3"/>
      <x/>
      <x v="3"/>
      <x v="3"/>
      <x/>
      <x v="16"/>
      <x v="3"/>
      <x v="5"/>
      <x v="2"/>
      <x v="2"/>
      <x/>
    </i>
    <i r="2">
      <x v="151"/>
      <x v="151"/>
      <x v="1"/>
      <x/>
      <x v="3"/>
      <x v="3"/>
      <x/>
      <x/>
      <x v="3"/>
      <x v="6"/>
      <x/>
      <x v="2"/>
      <x v="57"/>
    </i>
    <i r="14">
      <x v="60"/>
    </i>
    <i r="11">
      <x v="7"/>
      <x/>
      <x v="2"/>
      <x v="2"/>
    </i>
    <i r="11">
      <x v="8"/>
      <x/>
      <x v="2"/>
      <x v="48"/>
    </i>
    <i r="11">
      <x v="12"/>
      <x/>
      <x v="2"/>
      <x v="43"/>
    </i>
    <i r="11">
      <x v="13"/>
      <x/>
      <x v="2"/>
      <x v="44"/>
    </i>
    <i r="11">
      <x v="16"/>
      <x/>
      <x v="2"/>
      <x v="58"/>
    </i>
    <i r="11">
      <x v="17"/>
      <x/>
      <x v="2"/>
      <x v="2"/>
    </i>
    <i r="11">
      <x v="18"/>
      <x/>
      <x v="2"/>
      <x v="46"/>
    </i>
    <i r="11">
      <x v="19"/>
      <x/>
      <x v="2"/>
      <x v="46"/>
    </i>
    <i r="11">
      <x v="21"/>
      <x/>
      <x v="2"/>
      <x v="2"/>
    </i>
    <i r="11">
      <x v="22"/>
      <x/>
      <x v="2"/>
      <x v="59"/>
    </i>
    <i r="11">
      <x v="23"/>
      <x/>
      <x v="2"/>
      <x v="59"/>
    </i>
    <i r="11">
      <x v="24"/>
      <x/>
      <x v="2"/>
      <x v="59"/>
    </i>
    <i r="4">
      <x v="2"/>
      <x/>
      <x v="42"/>
      <x v="44"/>
      <x v="16"/>
      <x v="28"/>
      <x v="2"/>
      <x v="5"/>
      <x v="2"/>
      <x v="2"/>
      <x/>
    </i>
    <i r="4">
      <x v="3"/>
      <x/>
      <x v="3"/>
      <x v="3"/>
      <x/>
      <x v="30"/>
      <x v="3"/>
      <x v="5"/>
      <x v="2"/>
      <x v="2"/>
      <x/>
    </i>
    <i r="9">
      <x v="34"/>
      <x v="3"/>
      <x v="5"/>
      <x v="2"/>
      <x v="2"/>
      <x/>
    </i>
    <i r="9">
      <x v="35"/>
      <x v="3"/>
      <x v="5"/>
      <x v="2"/>
      <x v="2"/>
      <x/>
    </i>
    <i r="9">
      <x v="39"/>
      <x v="3"/>
      <x v="5"/>
      <x v="2"/>
      <x v="2"/>
      <x/>
    </i>
    <i r="2">
      <x v="152"/>
      <x v="152"/>
      <x v="1"/>
      <x/>
      <x v="3"/>
      <x v="3"/>
      <x/>
      <x/>
      <x v="3"/>
      <x v="8"/>
      <x/>
      <x v="2"/>
      <x v="61"/>
    </i>
    <i r="4">
      <x v="2"/>
      <x/>
      <x v="42"/>
      <x v="45"/>
      <x v="16"/>
      <x v="6"/>
      <x v="2"/>
      <x v="5"/>
      <x v="2"/>
      <x v="2"/>
      <x/>
    </i>
    <i r="4">
      <x v="3"/>
      <x/>
      <x v="3"/>
      <x v="3"/>
      <x/>
      <x v="16"/>
      <x v="3"/>
      <x v="5"/>
      <x v="2"/>
      <x v="2"/>
      <x/>
    </i>
    <i r="2">
      <x v="153"/>
      <x v="153"/>
      <x v="1"/>
      <x/>
      <x v="3"/>
      <x v="3"/>
      <x/>
      <x/>
      <x v="3"/>
      <x v="10"/>
      <x/>
      <x v="2"/>
      <x v="62"/>
    </i>
    <i r="2">
      <x v="154"/>
      <x v="154"/>
      <x v="1"/>
      <x/>
      <x v="3"/>
      <x v="3"/>
      <x/>
      <x/>
      <x v="3"/>
      <x v="6"/>
      <x/>
      <x v="2"/>
      <x v="63"/>
    </i>
    <i r="14">
      <x v="64"/>
    </i>
    <i r="4">
      <x v="3"/>
      <x/>
      <x v="3"/>
      <x v="3"/>
      <x/>
      <x v="16"/>
      <x v="3"/>
      <x v="5"/>
      <x v="2"/>
      <x v="2"/>
      <x/>
    </i>
    <i r="2">
      <x v="155"/>
      <x v="155"/>
      <x v="1"/>
      <x/>
      <x v="3"/>
      <x v="3"/>
      <x/>
      <x/>
      <x v="3"/>
      <x v="6"/>
      <x/>
      <x v="2"/>
      <x v="65"/>
    </i>
    <i r="14">
      <x v="66"/>
    </i>
    <i r="2">
      <x v="156"/>
      <x v="156"/>
      <x v="1"/>
      <x/>
      <x v="3"/>
      <x v="3"/>
      <x/>
      <x/>
      <x v="3"/>
      <x v="6"/>
      <x/>
      <x v="2"/>
      <x v="67"/>
    </i>
    <i r="2">
      <x v="157"/>
      <x v="157"/>
      <x v="3"/>
      <x/>
      <x v="3"/>
      <x v="3"/>
      <x/>
      <x v="11"/>
      <x v="3"/>
      <x v="5"/>
      <x v="2"/>
      <x v="2"/>
      <x/>
    </i>
    <i r="2">
      <x v="158"/>
      <x v="158"/>
      <x v="1"/>
      <x/>
      <x v="3"/>
      <x v="3"/>
      <x/>
      <x/>
      <x v="3"/>
      <x v="10"/>
      <x/>
      <x v="2"/>
      <x v="68"/>
    </i>
    <i r="2">
      <x v="159"/>
      <x v="159"/>
      <x v="1"/>
      <x/>
      <x v="3"/>
      <x v="3"/>
      <x/>
      <x/>
      <x v="3"/>
      <x v="9"/>
      <x/>
      <x v="2"/>
      <x v="69"/>
    </i>
    <i r="4">
      <x v="3"/>
      <x/>
      <x v="3"/>
      <x v="3"/>
      <x/>
      <x v="36"/>
      <x v="3"/>
      <x v="5"/>
      <x v="2"/>
      <x v="2"/>
      <x/>
    </i>
    <i r="2">
      <x v="160"/>
      <x v="160"/>
      <x v="3"/>
      <x/>
      <x v="3"/>
      <x v="3"/>
      <x/>
      <x v="27"/>
      <x v="3"/>
      <x v="5"/>
      <x v="2"/>
      <x v="2"/>
      <x/>
    </i>
    <i r="2">
      <x v="161"/>
      <x v="161"/>
      <x v="2"/>
      <x/>
      <x v="42"/>
      <x v="45"/>
      <x v="16"/>
      <x v="37"/>
      <x v="2"/>
      <x v="5"/>
      <x v="2"/>
      <x v="2"/>
      <x/>
    </i>
    <i r="4">
      <x v="3"/>
      <x/>
      <x v="3"/>
      <x v="3"/>
      <x/>
      <x v="38"/>
      <x v="3"/>
      <x v="5"/>
      <x v="2"/>
      <x v="2"/>
      <x/>
    </i>
    <i r="2">
      <x v="162"/>
      <x v="162"/>
      <x v="1"/>
      <x/>
      <x v="3"/>
      <x v="3"/>
      <x/>
      <x/>
      <x v="3"/>
      <x v="10"/>
      <x/>
      <x v="2"/>
      <x v="70"/>
    </i>
    <i r="2">
      <x v="163"/>
      <x v="163"/>
      <x v="1"/>
      <x/>
      <x v="3"/>
      <x v="3"/>
      <x/>
      <x/>
      <x v="3"/>
      <x v="25"/>
      <x/>
      <x v="2"/>
      <x v="59"/>
    </i>
    <i r="4">
      <x v="3"/>
      <x/>
      <x v="3"/>
      <x v="3"/>
      <x/>
      <x v="40"/>
      <x v="3"/>
      <x v="5"/>
      <x v="2"/>
      <x v="2"/>
      <x/>
    </i>
    <i r="2">
      <x v="164"/>
      <x v="164"/>
      <x v="3"/>
      <x/>
      <x v="3"/>
      <x v="3"/>
      <x/>
      <x v="41"/>
      <x v="3"/>
      <x v="5"/>
      <x v="2"/>
      <x v="2"/>
      <x/>
    </i>
    <i r="2">
      <x v="165"/>
      <x v="165"/>
      <x v="1"/>
      <x/>
      <x v="3"/>
      <x v="3"/>
      <x/>
      <x/>
      <x v="3"/>
      <x v="25"/>
      <x/>
      <x v="2"/>
      <x v="41"/>
    </i>
    <i r="2">
      <x v="166"/>
      <x v="166"/>
      <x v="3"/>
      <x/>
      <x v="3"/>
      <x v="3"/>
      <x/>
      <x v="23"/>
      <x v="3"/>
      <x v="5"/>
      <x v="2"/>
      <x v="2"/>
      <x/>
    </i>
    <i r="2">
      <x v="167"/>
      <x v="167"/>
      <x v="3"/>
      <x/>
      <x v="3"/>
      <x v="3"/>
      <x/>
      <x v="24"/>
      <x v="3"/>
      <x v="5"/>
      <x v="2"/>
      <x v="2"/>
      <x/>
    </i>
    <i r="9">
      <x v="25"/>
      <x v="3"/>
      <x v="5"/>
      <x v="2"/>
      <x v="2"/>
      <x/>
    </i>
    <i r="2">
      <x v="168"/>
      <x v="168"/>
      <x v="3"/>
      <x/>
      <x v="3"/>
      <x v="3"/>
      <x/>
      <x v="23"/>
      <x v="3"/>
      <x v="5"/>
      <x v="2"/>
      <x v="2"/>
      <x/>
    </i>
    <i r="2">
      <x v="169"/>
      <x v="169"/>
      <x v="3"/>
      <x/>
      <x v="3"/>
      <x v="3"/>
      <x/>
      <x v="24"/>
      <x v="3"/>
      <x v="5"/>
      <x v="2"/>
      <x v="2"/>
      <x/>
    </i>
    <i r="2">
      <x v="170"/>
      <x v="170"/>
      <x v="1"/>
      <x/>
      <x v="3"/>
      <x v="3"/>
      <x/>
      <x/>
      <x v="3"/>
      <x v="25"/>
      <x/>
      <x v="2"/>
      <x v="59"/>
    </i>
    <i r="4">
      <x v="2"/>
      <x v="15"/>
      <x v="44"/>
      <x v="46"/>
      <x v="16"/>
      <x v="12"/>
      <x v="2"/>
      <x v="5"/>
      <x v="2"/>
      <x v="2"/>
      <x/>
    </i>
    <i r="4">
      <x v="3"/>
      <x/>
      <x v="3"/>
      <x v="3"/>
      <x/>
      <x v="42"/>
      <x v="3"/>
      <x v="5"/>
      <x v="2"/>
      <x v="2"/>
      <x/>
    </i>
    <i r="2">
      <x v="171"/>
      <x v="171"/>
      <x v="2"/>
      <x/>
      <x v="44"/>
      <x v="46"/>
      <x v="16"/>
      <x v="12"/>
      <x v="2"/>
      <x v="5"/>
      <x v="2"/>
      <x v="2"/>
      <x/>
    </i>
    <i r="2">
      <x v="172"/>
      <x v="172"/>
      <x v="2"/>
      <x v="15"/>
      <x v="44"/>
      <x v="46"/>
      <x v="16"/>
      <x v="12"/>
      <x v="2"/>
      <x v="5"/>
      <x v="2"/>
      <x v="2"/>
      <x/>
    </i>
    <i r="2">
      <x v="173"/>
      <x v="173"/>
      <x v="2"/>
      <x v="23"/>
      <x v="45"/>
      <x v="47"/>
      <x v="16"/>
      <x v="22"/>
      <x v="2"/>
      <x v="5"/>
      <x v="2"/>
      <x v="2"/>
      <x/>
    </i>
    <i r="2">
      <x v="174"/>
      <x v="174"/>
      <x v="2"/>
      <x/>
      <x v="45"/>
      <x v="47"/>
      <x v="16"/>
      <x v="12"/>
      <x v="2"/>
      <x v="5"/>
      <x v="2"/>
      <x v="2"/>
      <x/>
    </i>
    <i r="4">
      <x v="3"/>
      <x/>
      <x v="3"/>
      <x v="3"/>
      <x/>
      <x v="41"/>
      <x v="3"/>
      <x v="5"/>
      <x v="2"/>
      <x v="2"/>
      <x/>
    </i>
    <i r="2">
      <x v="175"/>
      <x v="175"/>
      <x v="1"/>
      <x/>
      <x v="3"/>
      <x v="3"/>
      <x/>
      <x/>
      <x v="3"/>
      <x v="25"/>
      <x/>
      <x v="2"/>
      <x v="41"/>
    </i>
    <i r="4">
      <x v="2"/>
      <x v="15"/>
      <x v="45"/>
      <x v="47"/>
      <x v="16"/>
      <x v="12"/>
      <x v="2"/>
      <x v="5"/>
      <x v="2"/>
      <x v="2"/>
      <x/>
    </i>
    <i r="2">
      <x v="176"/>
      <x v="176"/>
      <x v="1"/>
      <x/>
      <x v="3"/>
      <x v="3"/>
      <x/>
      <x/>
      <x v="3"/>
      <x v="8"/>
      <x/>
      <x v="2"/>
      <x v="71"/>
    </i>
    <i r="2">
      <x v="177"/>
      <x v="177"/>
      <x v="1"/>
      <x/>
      <x v="3"/>
      <x v="3"/>
      <x/>
      <x/>
      <x v="3"/>
      <x v="16"/>
      <x/>
      <x v="2"/>
      <x v="73"/>
    </i>
    <i r="11">
      <x v="18"/>
      <x/>
      <x v="2"/>
      <x v="72"/>
    </i>
    <i r="11">
      <x v="19"/>
      <x/>
      <x v="2"/>
      <x v="74"/>
    </i>
    <i r="2">
      <x v="178"/>
      <x v="178"/>
      <x v="1"/>
      <x/>
      <x v="3"/>
      <x v="3"/>
      <x/>
      <x/>
      <x v="3"/>
      <x v="8"/>
      <x/>
      <x v="2"/>
      <x v="75"/>
    </i>
    <i r="2">
      <x v="179"/>
      <x v="179"/>
      <x v="1"/>
      <x/>
      <x v="3"/>
      <x v="3"/>
      <x/>
      <x/>
      <x v="3"/>
      <x v="8"/>
      <x/>
      <x v="2"/>
      <x v="76"/>
    </i>
    <i r="2">
      <x v="180"/>
      <x v="180"/>
      <x v="1"/>
      <x/>
      <x v="3"/>
      <x v="3"/>
      <x/>
      <x/>
      <x v="3"/>
      <x v="10"/>
      <x/>
      <x v="2"/>
      <x v="77"/>
    </i>
    <i r="2">
      <x v="181"/>
      <x v="181"/>
      <x v="2"/>
      <x v="8"/>
      <x v="46"/>
      <x v="48"/>
      <x v="16"/>
      <x v="18"/>
      <x v="2"/>
      <x v="5"/>
      <x v="2"/>
      <x v="2"/>
      <x/>
    </i>
    <i r="2">
      <x v="182"/>
      <x v="182"/>
      <x v="1"/>
      <x/>
      <x v="3"/>
      <x v="3"/>
      <x/>
      <x/>
      <x v="3"/>
      <x v="10"/>
      <x/>
      <x v="2"/>
      <x v="78"/>
    </i>
    <i r="2">
      <x v="183"/>
      <x v="183"/>
      <x v="1"/>
      <x/>
      <x v="3"/>
      <x v="3"/>
      <x/>
      <x/>
      <x v="3"/>
      <x v="9"/>
      <x/>
      <x v="2"/>
      <x v="79"/>
    </i>
    <i r="2">
      <x v="184"/>
      <x v="184"/>
      <x v="1"/>
      <x/>
      <x v="3"/>
      <x v="3"/>
      <x/>
      <x/>
      <x v="3"/>
      <x v="10"/>
      <x/>
      <x v="2"/>
      <x v="80"/>
    </i>
    <i r="2">
      <x v="185"/>
      <x v="185"/>
      <x v="2"/>
      <x v="19"/>
      <x v="47"/>
      <x v="49"/>
      <x v="16"/>
      <x v="17"/>
      <x v="2"/>
      <x v="5"/>
      <x v="2"/>
      <x v="2"/>
      <x/>
    </i>
    <i r="2">
      <x v="186"/>
      <x v="186"/>
      <x v="1"/>
      <x/>
      <x v="3"/>
      <x v="3"/>
      <x/>
      <x/>
      <x v="3"/>
      <x v="8"/>
      <x/>
      <x v="2"/>
      <x v="81"/>
    </i>
    <i r="2">
      <x v="187"/>
      <x v="187"/>
      <x v="2"/>
      <x v="20"/>
      <x v="48"/>
      <x v="50"/>
      <x v="16"/>
      <x v="18"/>
      <x v="2"/>
      <x v="5"/>
      <x v="2"/>
      <x v="2"/>
      <x/>
    </i>
    <i r="2">
      <x v="188"/>
      <x v="188"/>
      <x v="1"/>
      <x/>
      <x v="3"/>
      <x v="3"/>
      <x/>
      <x/>
      <x v="3"/>
      <x v="16"/>
      <x/>
      <x v="2"/>
      <x v="58"/>
    </i>
    <i r="11">
      <x v="18"/>
      <x/>
      <x v="2"/>
      <x v="46"/>
    </i>
    <i r="11">
      <x v="19"/>
      <x/>
      <x v="2"/>
      <x v="74"/>
    </i>
    <i r="2">
      <x v="189"/>
      <x v="189"/>
      <x v="1"/>
      <x/>
      <x v="3"/>
      <x v="3"/>
      <x/>
      <x/>
      <x v="3"/>
      <x v="16"/>
      <x/>
      <x v="2"/>
      <x v="73"/>
    </i>
    <i r="11">
      <x v="18"/>
      <x/>
      <x v="2"/>
      <x v="82"/>
    </i>
    <i r="11">
      <x v="19"/>
      <x/>
      <x v="2"/>
      <x v="46"/>
    </i>
    <i r="2">
      <x v="190"/>
      <x v="190"/>
      <x v="1"/>
      <x/>
      <x v="3"/>
      <x v="3"/>
      <x/>
      <x/>
      <x v="3"/>
      <x v="16"/>
      <x/>
      <x v="2"/>
      <x v="73"/>
    </i>
    <i r="11">
      <x v="18"/>
      <x/>
      <x v="2"/>
      <x v="83"/>
    </i>
    <i r="11">
      <x v="19"/>
      <x/>
      <x v="2"/>
      <x v="46"/>
    </i>
    <i r="4">
      <x v="2"/>
      <x/>
      <x v="49"/>
      <x v="34"/>
      <x v="16"/>
      <x v="12"/>
      <x v="2"/>
      <x v="5"/>
      <x v="2"/>
      <x v="2"/>
      <x/>
    </i>
    <i r="2">
      <x v="191"/>
      <x v="191"/>
      <x v="1"/>
      <x/>
      <x v="3"/>
      <x v="3"/>
      <x/>
      <x/>
      <x v="3"/>
      <x v="10"/>
      <x/>
      <x v="2"/>
      <x v="84"/>
    </i>
    <i r="2">
      <x v="192"/>
      <x v="192"/>
      <x v="1"/>
      <x/>
      <x v="3"/>
      <x v="3"/>
      <x/>
      <x/>
      <x v="3"/>
      <x v="8"/>
      <x/>
      <x v="2"/>
      <x v="85"/>
    </i>
    <i r="2">
      <x v="193"/>
      <x v="193"/>
      <x v="1"/>
      <x/>
      <x v="3"/>
      <x v="3"/>
      <x/>
      <x/>
      <x v="3"/>
      <x v="10"/>
      <x/>
      <x v="2"/>
      <x v="86"/>
    </i>
    <i r="2">
      <x v="194"/>
      <x v="194"/>
      <x v="3"/>
      <x/>
      <x v="3"/>
      <x v="3"/>
      <x/>
      <x v="43"/>
      <x v="3"/>
      <x v="5"/>
      <x v="2"/>
      <x v="2"/>
      <x/>
    </i>
    <i r="9">
      <x v="44"/>
      <x v="3"/>
      <x v="5"/>
      <x v="2"/>
      <x v="2"/>
      <x/>
    </i>
    <i r="9">
      <x v="45"/>
      <x v="3"/>
      <x v="5"/>
      <x v="2"/>
      <x v="2"/>
      <x/>
    </i>
    <i r="9">
      <x v="46"/>
      <x v="3"/>
      <x v="5"/>
      <x v="2"/>
      <x v="2"/>
      <x/>
    </i>
    <i r="9">
      <x v="47"/>
      <x v="3"/>
      <x v="5"/>
      <x v="2"/>
      <x v="2"/>
      <x/>
    </i>
    <i r="2">
      <x v="195"/>
      <x v="195"/>
      <x v="2"/>
      <x/>
      <x v="49"/>
      <x v="34"/>
      <x v="16"/>
      <x v="22"/>
      <x v="2"/>
      <x v="5"/>
      <x v="2"/>
      <x v="2"/>
      <x/>
    </i>
    <i r="2">
      <x v="196"/>
      <x v="196"/>
      <x v="1"/>
      <x/>
      <x v="3"/>
      <x v="3"/>
      <x/>
      <x/>
      <x v="3"/>
      <x v="8"/>
      <x/>
      <x v="2"/>
      <x v="87"/>
    </i>
    <i r="2">
      <x v="197"/>
      <x v="197"/>
      <x v="2"/>
      <x v="12"/>
      <x v="50"/>
      <x v="51"/>
      <x v="16"/>
      <x v="12"/>
      <x v="2"/>
      <x v="5"/>
      <x v="2"/>
      <x v="2"/>
      <x/>
    </i>
    <i r="2">
      <x v="198"/>
      <x v="198"/>
      <x v="1"/>
      <x/>
      <x v="3"/>
      <x v="3"/>
      <x/>
      <x/>
      <x v="3"/>
      <x v="8"/>
      <x/>
      <x v="2"/>
      <x v="88"/>
    </i>
    <i r="2">
      <x v="199"/>
      <x v="199"/>
      <x v="1"/>
      <x/>
      <x v="3"/>
      <x v="3"/>
      <x/>
      <x/>
      <x v="3"/>
      <x v="8"/>
      <x/>
      <x v="2"/>
      <x v="89"/>
    </i>
    <i r="2">
      <x v="200"/>
      <x v="200"/>
      <x v="2"/>
      <x v="11"/>
      <x v="51"/>
      <x v="52"/>
      <x v="16"/>
      <x v="18"/>
      <x v="2"/>
      <x v="5"/>
      <x v="2"/>
      <x v="2"/>
      <x/>
    </i>
    <i r="2">
      <x v="201"/>
      <x v="201"/>
      <x v="2"/>
      <x v="7"/>
      <x v="52"/>
      <x v="53"/>
      <x v="16"/>
      <x v="17"/>
      <x v="2"/>
      <x v="5"/>
      <x v="2"/>
      <x v="2"/>
      <x/>
    </i>
    <i r="2">
      <x v="202"/>
      <x v="202"/>
      <x v="3"/>
      <x/>
      <x v="3"/>
      <x v="3"/>
      <x/>
      <x v="43"/>
      <x v="3"/>
      <x v="5"/>
      <x v="2"/>
      <x v="2"/>
      <x/>
    </i>
    <i r="9">
      <x v="44"/>
      <x v="3"/>
      <x v="5"/>
      <x v="2"/>
      <x v="2"/>
      <x/>
    </i>
    <i r="9">
      <x v="45"/>
      <x v="3"/>
      <x v="5"/>
      <x v="2"/>
      <x v="2"/>
      <x/>
    </i>
    <i r="9">
      <x v="46"/>
      <x v="3"/>
      <x v="5"/>
      <x v="2"/>
      <x v="2"/>
      <x/>
    </i>
    <i r="9">
      <x v="47"/>
      <x v="3"/>
      <x v="5"/>
      <x v="2"/>
      <x v="2"/>
      <x/>
    </i>
    <i r="2">
      <x v="203"/>
      <x v="203"/>
      <x v="1"/>
      <x/>
      <x v="3"/>
      <x v="3"/>
      <x/>
      <x/>
      <x v="3"/>
      <x v="10"/>
      <x/>
      <x v="2"/>
      <x v="78"/>
    </i>
    <i r="2">
      <x v="204"/>
      <x v="204"/>
      <x v="2"/>
      <x v="8"/>
      <x v="53"/>
      <x v="54"/>
      <x v="13"/>
      <x v="17"/>
      <x v="2"/>
      <x v="5"/>
      <x v="2"/>
      <x v="2"/>
      <x/>
    </i>
    <i r="2">
      <x v="205"/>
      <x v="205"/>
      <x v="3"/>
      <x/>
      <x v="3"/>
      <x v="3"/>
      <x/>
      <x v="36"/>
      <x v="3"/>
      <x v="5"/>
      <x v="2"/>
      <x v="2"/>
      <x/>
    </i>
    <i r="2">
      <x v="206"/>
      <x v="206"/>
      <x v="2"/>
      <x v="20"/>
      <x v="54"/>
      <x v="55"/>
      <x v="13"/>
      <x v="37"/>
      <x v="2"/>
      <x v="5"/>
      <x v="2"/>
      <x v="2"/>
      <x/>
    </i>
    <i r="4">
      <x v="3"/>
      <x/>
      <x v="3"/>
      <x v="3"/>
      <x/>
      <x v="38"/>
      <x v="3"/>
      <x v="5"/>
      <x v="2"/>
      <x v="2"/>
      <x/>
    </i>
    <i r="2">
      <x v="207"/>
      <x v="207"/>
      <x v="2"/>
      <x v="10"/>
      <x v="55"/>
      <x v="56"/>
      <x v="13"/>
      <x v="18"/>
      <x v="2"/>
      <x v="5"/>
      <x v="2"/>
      <x v="2"/>
      <x/>
    </i>
    <i r="2">
      <x v="208"/>
      <x v="208"/>
      <x v="2"/>
      <x v="18"/>
      <x v="56"/>
      <x v="57"/>
      <x v="13"/>
      <x v="17"/>
      <x v="2"/>
      <x v="5"/>
      <x v="2"/>
      <x v="2"/>
      <x/>
    </i>
    <i r="2">
      <x v="209"/>
      <x v="209"/>
      <x v="1"/>
      <x/>
      <x v="3"/>
      <x v="3"/>
      <x/>
      <x/>
      <x v="3"/>
      <x v="16"/>
      <x/>
      <x v="2"/>
      <x v="45"/>
    </i>
    <i r="11">
      <x v="18"/>
      <x/>
      <x v="2"/>
      <x v="91"/>
    </i>
    <i r="11">
      <x v="19"/>
      <x/>
      <x v="2"/>
      <x v="90"/>
    </i>
    <i r="2">
      <x v="210"/>
      <x v="210"/>
      <x v="2"/>
      <x v="24"/>
      <x v="56"/>
      <x v="58"/>
      <x v="18"/>
      <x v="17"/>
      <x v="2"/>
      <x v="5"/>
      <x v="2"/>
      <x v="2"/>
      <x/>
    </i>
    <i r="2">
      <x v="211"/>
      <x v="211"/>
      <x v="1"/>
      <x/>
      <x v="3"/>
      <x v="3"/>
      <x/>
      <x/>
      <x v="3"/>
      <x v="16"/>
      <x/>
      <x v="2"/>
      <x v="73"/>
    </i>
    <i r="11">
      <x v="18"/>
      <x/>
      <x v="2"/>
      <x v="92"/>
    </i>
    <i r="11">
      <x v="19"/>
      <x/>
      <x v="2"/>
      <x v="93"/>
    </i>
    <i r="2">
      <x v="212"/>
      <x v="212"/>
      <x v="1"/>
      <x/>
      <x v="3"/>
      <x v="3"/>
      <x/>
      <x/>
      <x v="3"/>
      <x v="10"/>
      <x/>
      <x v="2"/>
      <x v="94"/>
    </i>
    <i r="2">
      <x v="213"/>
      <x v="213"/>
      <x v="1"/>
      <x/>
      <x v="3"/>
      <x v="3"/>
      <x/>
      <x/>
      <x v="3"/>
      <x v="8"/>
      <x/>
      <x v="2"/>
      <x v="95"/>
    </i>
    <i r="2">
      <x v="214"/>
      <x v="214"/>
      <x v="2"/>
      <x v="20"/>
      <x v="57"/>
      <x v="59"/>
      <x v="19"/>
      <x v="18"/>
      <x v="2"/>
      <x v="5"/>
      <x v="2"/>
      <x v="2"/>
      <x/>
    </i>
    <i r="2">
      <x v="215"/>
      <x v="215"/>
      <x v="1"/>
      <x/>
      <x v="3"/>
      <x v="3"/>
      <x/>
      <x/>
      <x v="3"/>
      <x v="16"/>
      <x/>
      <x v="2"/>
      <x v="73"/>
    </i>
    <i r="11">
      <x v="18"/>
      <x/>
      <x v="2"/>
      <x v="96"/>
    </i>
    <i r="11">
      <x v="19"/>
      <x/>
      <x v="2"/>
      <x v="46"/>
    </i>
    <i r="2">
      <x v="216"/>
      <x v="216"/>
      <x v="1"/>
      <x/>
      <x v="3"/>
      <x v="3"/>
      <x/>
      <x/>
      <x v="3"/>
      <x v="10"/>
      <x/>
      <x v="2"/>
      <x v="78"/>
    </i>
    <i r="2">
      <x v="217"/>
      <x v="217"/>
      <x v="2"/>
      <x/>
      <x v="58"/>
      <x v="60"/>
      <x v="20"/>
      <x v="12"/>
      <x v="2"/>
      <x v="5"/>
      <x v="2"/>
      <x v="2"/>
      <x/>
    </i>
    <i r="2">
      <x v="218"/>
      <x v="218"/>
      <x v="1"/>
      <x/>
      <x v="3"/>
      <x v="3"/>
      <x/>
      <x/>
      <x v="3"/>
      <x v="8"/>
      <x/>
      <x v="2"/>
      <x v="85"/>
    </i>
    <i r="4">
      <x v="2"/>
      <x v="15"/>
      <x v="58"/>
      <x v="60"/>
      <x v="20"/>
      <x v="12"/>
      <x v="2"/>
      <x v="5"/>
      <x v="2"/>
      <x v="2"/>
      <x/>
    </i>
    <i r="2">
      <x v="219"/>
      <x v="219"/>
      <x v="1"/>
      <x/>
      <x v="3"/>
      <x v="3"/>
      <x/>
      <x/>
      <x v="3"/>
      <x v="16"/>
      <x/>
      <x v="2"/>
      <x v="97"/>
    </i>
    <i r="11">
      <x v="18"/>
      <x/>
      <x v="2"/>
      <x v="72"/>
    </i>
    <i r="11">
      <x v="19"/>
      <x/>
      <x v="2"/>
      <x v="46"/>
    </i>
    <i r="2">
      <x v="220"/>
      <x v="220"/>
      <x v="1"/>
      <x/>
      <x v="3"/>
      <x v="3"/>
      <x/>
      <x/>
      <x v="3"/>
      <x v="8"/>
      <x/>
      <x v="2"/>
      <x v="98"/>
    </i>
    <i r="2">
      <x v="221"/>
      <x v="221"/>
      <x v="2"/>
      <x v="24"/>
      <x v="59"/>
      <x v="61"/>
      <x v="21"/>
      <x v="18"/>
      <x v="2"/>
      <x v="5"/>
      <x v="2"/>
      <x v="2"/>
      <x/>
    </i>
    <i r="2">
      <x v="222"/>
      <x v="222"/>
      <x v="1"/>
      <x/>
      <x v="3"/>
      <x v="3"/>
      <x/>
      <x/>
      <x v="3"/>
      <x v="8"/>
      <x/>
      <x v="2"/>
      <x v="99"/>
    </i>
    <i r="2">
      <x v="223"/>
      <x v="223"/>
      <x v="3"/>
      <x/>
      <x v="3"/>
      <x v="3"/>
      <x/>
      <x v="16"/>
      <x v="3"/>
      <x v="5"/>
      <x v="2"/>
      <x v="2"/>
      <x/>
    </i>
    <i r="2">
      <x v="224"/>
      <x v="224"/>
      <x v="3"/>
      <x/>
      <x v="3"/>
      <x v="3"/>
      <x/>
      <x v="16"/>
      <x v="3"/>
      <x v="5"/>
      <x v="2"/>
      <x v="2"/>
      <x/>
    </i>
    <i r="2">
      <x v="225"/>
      <x v="225"/>
      <x v="2"/>
      <x v="1"/>
      <x v="60"/>
      <x v="62"/>
      <x v="22"/>
      <x v="18"/>
      <x v="2"/>
      <x v="5"/>
      <x v="2"/>
      <x v="2"/>
      <x/>
    </i>
    <i r="2">
      <x v="226"/>
      <x v="226"/>
      <x v="3"/>
      <x/>
      <x v="3"/>
      <x v="3"/>
      <x/>
      <x v="10"/>
      <x v="3"/>
      <x v="5"/>
      <x v="2"/>
      <x v="2"/>
      <x/>
    </i>
    <i r="9">
      <x v="16"/>
      <x v="3"/>
      <x v="5"/>
      <x v="2"/>
      <x v="2"/>
      <x/>
    </i>
    <i r="9">
      <x v="48"/>
      <x v="3"/>
      <x v="5"/>
      <x v="2"/>
      <x v="2"/>
      <x/>
    </i>
    <i r="2">
      <x v="227"/>
      <x v="227"/>
      <x v="1"/>
      <x/>
      <x v="3"/>
      <x v="3"/>
      <x/>
      <x/>
      <x v="3"/>
      <x v="26"/>
      <x/>
      <x v="2"/>
      <x v="41"/>
    </i>
    <i r="4">
      <x v="3"/>
      <x/>
      <x v="3"/>
      <x v="3"/>
      <x/>
      <x v="16"/>
      <x v="3"/>
      <x v="5"/>
      <x v="2"/>
      <x v="2"/>
      <x/>
    </i>
    <i r="2">
      <x v="228"/>
      <x v="228"/>
      <x v="3"/>
      <x/>
      <x v="3"/>
      <x v="3"/>
      <x/>
      <x v="16"/>
      <x v="3"/>
      <x v="5"/>
      <x v="2"/>
      <x v="2"/>
      <x/>
    </i>
    <i r="2">
      <x v="229"/>
      <x v="229"/>
      <x v="3"/>
      <x/>
      <x v="3"/>
      <x v="3"/>
      <x/>
      <x v="16"/>
      <x v="3"/>
      <x v="5"/>
      <x v="2"/>
      <x v="2"/>
      <x/>
    </i>
    <i r="2">
      <x v="230"/>
      <x v="230"/>
      <x v="2"/>
      <x/>
      <x v="61"/>
      <x v="63"/>
      <x v="23"/>
      <x v="12"/>
      <x v="2"/>
      <x v="5"/>
      <x v="2"/>
      <x v="2"/>
      <x/>
    </i>
    <i r="2">
      <x v="231"/>
      <x v="231"/>
      <x v="1"/>
      <x/>
      <x v="3"/>
      <x v="3"/>
      <x/>
      <x/>
      <x v="3"/>
      <x v="8"/>
      <x/>
      <x v="2"/>
      <x v="100"/>
    </i>
    <i r="4">
      <x v="2"/>
      <x v="2"/>
      <x v="61"/>
      <x v="63"/>
      <x v="23"/>
      <x v="12"/>
      <x v="2"/>
      <x v="5"/>
      <x v="2"/>
      <x v="2"/>
      <x/>
    </i>
    <i r="2">
      <x v="232"/>
      <x v="232"/>
      <x v="1"/>
      <x/>
      <x v="3"/>
      <x v="3"/>
      <x/>
      <x/>
      <x v="3"/>
      <x v="8"/>
      <x/>
      <x v="2"/>
      <x v="101"/>
    </i>
    <i r="2">
      <x v="233"/>
      <x v="233"/>
      <x v="1"/>
      <x/>
      <x v="3"/>
      <x v="3"/>
      <x/>
      <x/>
      <x v="3"/>
      <x v="8"/>
      <x/>
      <x v="2"/>
      <x v="102"/>
    </i>
    <i r="2">
      <x v="234"/>
      <x v="234"/>
      <x v="2"/>
      <x v="7"/>
      <x v="62"/>
      <x v="64"/>
      <x v="24"/>
      <x v="18"/>
      <x v="2"/>
      <x v="5"/>
      <x v="2"/>
      <x v="2"/>
      <x/>
    </i>
    <i r="2">
      <x v="235"/>
      <x v="235"/>
      <x v="2"/>
      <x v="20"/>
      <x v="63"/>
      <x v="65"/>
      <x v="25"/>
      <x v="22"/>
      <x v="2"/>
      <x v="5"/>
      <x v="2"/>
      <x v="2"/>
      <x/>
    </i>
    <i r="2">
      <x v="236"/>
      <x v="236"/>
      <x v="1"/>
      <x/>
      <x v="3"/>
      <x v="3"/>
      <x/>
      <x/>
      <x v="3"/>
      <x v="9"/>
      <x/>
      <x v="2"/>
      <x v="103"/>
    </i>
    <i r="2">
      <x v="237"/>
      <x v="237"/>
      <x v="1"/>
      <x/>
      <x v="3"/>
      <x v="3"/>
      <x/>
      <x/>
      <x v="3"/>
      <x v="8"/>
      <x/>
      <x v="2"/>
      <x v="104"/>
    </i>
    <i r="2">
      <x v="238"/>
      <x v="238"/>
      <x v="1"/>
      <x/>
      <x v="3"/>
      <x v="3"/>
      <x/>
      <x/>
      <x v="3"/>
      <x v="8"/>
      <x/>
      <x v="2"/>
      <x v="105"/>
    </i>
    <i r="2">
      <x v="239"/>
      <x v="239"/>
      <x v="1"/>
      <x/>
      <x v="3"/>
      <x v="3"/>
      <x/>
      <x/>
      <x v="3"/>
      <x v="8"/>
      <x/>
      <x v="2"/>
      <x v="106"/>
    </i>
    <i r="2">
      <x v="240"/>
      <x v="240"/>
      <x v="1"/>
      <x/>
      <x v="3"/>
      <x v="3"/>
      <x/>
      <x/>
      <x v="3"/>
      <x v="10"/>
      <x/>
      <x v="2"/>
      <x v="107"/>
    </i>
    <i r="2">
      <x v="241"/>
      <x v="241"/>
      <x v="1"/>
      <x/>
      <x v="3"/>
      <x v="3"/>
      <x/>
      <x/>
      <x v="3"/>
      <x v="25"/>
      <x/>
      <x v="2"/>
      <x v="108"/>
    </i>
  </rowItems>
  <colItems count="1">
    <i/>
  </colItems>
  <pivotTableStyleInfo name="PivotStyleLightCheckmate 2" showRowHeaders="0" showColHeaders="1" showRowStripes="1" showColStripes="0" showLastColumn="1"/>
</pivotTableDefinition>
</file>

<file path=xl/theme/theme1.xml><?xml version="1.0" encoding="utf-8"?>
<a:theme xmlns:a="http://schemas.openxmlformats.org/drawingml/2006/main" name="CheckmateReportTheme">
  <a:themeElements>
    <a:clrScheme name="Custom 1">
      <a:dk1>
        <a:sysClr val="windowText" lastClr="000000"/>
      </a:dk1>
      <a:lt1>
        <a:sysClr val="window" lastClr="FFFFFF"/>
      </a:lt1>
      <a:dk2>
        <a:srgbClr val="3F3F3F"/>
      </a:dk2>
      <a:lt2>
        <a:srgbClr val="EEECE1"/>
      </a:lt2>
      <a:accent1>
        <a:srgbClr val="25477B"/>
      </a:accent1>
      <a:accent2>
        <a:srgbClr val="5C9CCC"/>
      </a:accent2>
      <a:accent3>
        <a:srgbClr val="9BBB59"/>
      </a:accent3>
      <a:accent4>
        <a:srgbClr val="F7941E"/>
      </a:accent4>
      <a:accent5>
        <a:srgbClr val="F3F8FB"/>
      </a:accent5>
      <a:accent6>
        <a:srgbClr val="EEECE1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>
  <sheetPr>
    <pageSetUpPr fitToPage="1"/>
  </sheetPr>
  <dimension ref="A1:AL425"/>
  <sheetViews>
    <sheetView workbookViewId="0">
      <pane ySplit="8" topLeftCell="A9" activePane="bottomLeft" state="frozen"/>
      <selection pane="bottomLeft" activeCell="B11" sqref="B11"/>
    </sheetView>
  </sheetViews>
  <sheetFormatPr defaultRowHeight="12.75"/>
  <cols>
    <col min="1" max="1" width="14.42578125" customWidth="1"/>
    <col min="2" max="2" width="18.5703125" customWidth="1"/>
    <col min="3" max="3" width="13.42578125" customWidth="1"/>
    <col min="4" max="4" width="15.7109375" customWidth="1"/>
    <col min="5" max="5" width="9.7109375" customWidth="1"/>
    <col min="6" max="6" width="22.42578125" customWidth="1"/>
    <col min="7" max="7" width="14.85546875" customWidth="1"/>
    <col min="8" max="8" width="11.42578125" customWidth="1"/>
    <col min="9" max="9" width="18.42578125" customWidth="1"/>
    <col min="10" max="10" width="17.42578125" customWidth="1"/>
    <col min="11" max="11" width="47.5703125" customWidth="1"/>
    <col min="12" max="13" width="25.85546875" customWidth="1"/>
    <col min="14" max="14" width="12.85546875" customWidth="1"/>
    <col min="15" max="15" width="8.42578125" customWidth="1"/>
    <col min="16" max="16" width="9.7109375" customWidth="1"/>
    <col min="17" max="17" width="10" customWidth="1"/>
    <col min="18" max="18" width="9.140625" customWidth="1"/>
    <col min="19" max="19" width="9.5703125" customWidth="1"/>
    <col min="20" max="21" width="9.42578125" customWidth="1"/>
    <col min="22" max="22" width="10.85546875" customWidth="1"/>
    <col min="23" max="23" width="9.5703125" customWidth="1"/>
    <col min="24" max="24" width="9" customWidth="1"/>
    <col min="25" max="25" width="12" customWidth="1"/>
    <col min="26" max="26" width="10.42578125" customWidth="1"/>
    <col min="27" max="28" width="9.7109375" customWidth="1"/>
    <col min="29" max="29" width="31.85546875" customWidth="1"/>
    <col min="30" max="30" width="10.7109375" customWidth="1"/>
    <col min="31" max="31" width="13.7109375" customWidth="1"/>
    <col min="32" max="32" width="11.28515625" customWidth="1"/>
    <col min="33" max="33" width="15" customWidth="1"/>
    <col min="34" max="34" width="13" customWidth="1"/>
    <col min="35" max="35" width="12" customWidth="1"/>
    <col min="36" max="36" width="12.7109375" customWidth="1"/>
    <col min="37" max="37" width="13.140625" customWidth="1"/>
    <col min="38" max="38" width="19.42578125" customWidth="1"/>
  </cols>
  <sheetData>
    <row r="1" spans="1:38">
      <c r="A1" s="6" t="s">
        <v>75</v>
      </c>
      <c r="B1" s="5" t="s">
        <v>86</v>
      </c>
    </row>
    <row r="2" spans="1:38">
      <c r="A2" s="6" t="s">
        <v>69</v>
      </c>
      <c r="B2" s="5">
        <v>42065.962636481483</v>
      </c>
    </row>
    <row r="3" spans="1:38">
      <c r="A3" s="6" t="s">
        <v>70</v>
      </c>
      <c r="B3" s="5">
        <v>42065</v>
      </c>
    </row>
    <row r="4" spans="1:38">
      <c r="A4" s="6" t="s">
        <v>71</v>
      </c>
      <c r="B4" s="5">
        <v>42065.999988425923</v>
      </c>
    </row>
    <row r="5" spans="1:38">
      <c r="A5" s="6" t="s">
        <v>76</v>
      </c>
      <c r="B5" s="5" t="s">
        <v>77</v>
      </c>
    </row>
    <row r="6" spans="1:38">
      <c r="A6" s="6" t="s">
        <v>79</v>
      </c>
      <c r="B6" s="5" t="b">
        <v>1</v>
      </c>
    </row>
    <row r="7" spans="1:38">
      <c r="A7" s="6" t="s">
        <v>80</v>
      </c>
      <c r="B7" s="5" t="s">
        <v>87</v>
      </c>
    </row>
    <row r="8" spans="1:38" ht="19.5" thickBot="1">
      <c r="A8" s="3" t="s">
        <v>26</v>
      </c>
      <c r="B8" s="3" t="s">
        <v>25</v>
      </c>
      <c r="C8" s="3" t="s">
        <v>65</v>
      </c>
      <c r="D8" s="3" t="s">
        <v>27</v>
      </c>
      <c r="E8" s="3" t="s">
        <v>28</v>
      </c>
      <c r="F8" s="3" t="s">
        <v>29</v>
      </c>
      <c r="G8" s="3" t="s">
        <v>30</v>
      </c>
      <c r="H8" s="3" t="s">
        <v>31</v>
      </c>
      <c r="I8" s="3" t="s">
        <v>32</v>
      </c>
      <c r="J8" s="3" t="s">
        <v>33</v>
      </c>
      <c r="K8" s="3" t="s">
        <v>34</v>
      </c>
      <c r="L8" s="3" t="s">
        <v>67</v>
      </c>
      <c r="M8" s="3" t="s">
        <v>74</v>
      </c>
      <c r="N8" s="3" t="s">
        <v>35</v>
      </c>
      <c r="O8" s="3" t="s">
        <v>36</v>
      </c>
      <c r="P8" s="3" t="s">
        <v>37</v>
      </c>
      <c r="Q8" s="3" t="s">
        <v>38</v>
      </c>
      <c r="R8" s="3" t="s">
        <v>39</v>
      </c>
      <c r="S8" s="3" t="s">
        <v>40</v>
      </c>
      <c r="T8" s="3" t="s">
        <v>41</v>
      </c>
      <c r="U8" s="3" t="s">
        <v>42</v>
      </c>
      <c r="V8" s="3" t="s">
        <v>43</v>
      </c>
      <c r="W8" s="3" t="s">
        <v>44</v>
      </c>
      <c r="X8" s="3" t="s">
        <v>45</v>
      </c>
      <c r="Y8" s="3" t="s">
        <v>46</v>
      </c>
      <c r="Z8" s="3" t="s">
        <v>47</v>
      </c>
      <c r="AA8" s="3" t="s">
        <v>48</v>
      </c>
      <c r="AB8" s="3" t="s">
        <v>58</v>
      </c>
      <c r="AC8" s="3" t="s">
        <v>50</v>
      </c>
      <c r="AD8" s="3" t="s">
        <v>51</v>
      </c>
      <c r="AE8" s="3" t="s">
        <v>52</v>
      </c>
      <c r="AF8" s="3" t="s">
        <v>53</v>
      </c>
      <c r="AG8" s="3" t="s">
        <v>54</v>
      </c>
      <c r="AH8" s="3" t="s">
        <v>55</v>
      </c>
      <c r="AI8" s="3" t="s">
        <v>49</v>
      </c>
      <c r="AJ8" s="3" t="s">
        <v>56</v>
      </c>
      <c r="AK8" s="3" t="s">
        <v>57</v>
      </c>
      <c r="AL8" s="3" t="s">
        <v>84</v>
      </c>
    </row>
    <row r="9" spans="1:38">
      <c r="A9" s="4" t="s">
        <v>89</v>
      </c>
      <c r="B9" s="4" t="s">
        <v>88</v>
      </c>
      <c r="C9" s="4" t="s">
        <v>90</v>
      </c>
      <c r="D9" s="4" t="s">
        <v>18</v>
      </c>
      <c r="F9" s="5">
        <v>42065.867129629631</v>
      </c>
      <c r="G9" s="4" t="s">
        <v>59</v>
      </c>
      <c r="AC9" s="4" t="s">
        <v>93</v>
      </c>
      <c r="AD9" s="4" t="s">
        <v>92</v>
      </c>
      <c r="AE9" s="4" t="s">
        <v>18</v>
      </c>
      <c r="AF9" s="4" t="s">
        <v>94</v>
      </c>
      <c r="AI9" s="4">
        <v>1</v>
      </c>
      <c r="AJ9" s="4" t="s">
        <v>18</v>
      </c>
      <c r="AK9" s="4" t="s">
        <v>91</v>
      </c>
    </row>
    <row r="10" spans="1:38">
      <c r="A10" s="4" t="s">
        <v>89</v>
      </c>
      <c r="B10" s="4" t="s">
        <v>88</v>
      </c>
      <c r="C10" s="4" t="s">
        <v>90</v>
      </c>
      <c r="F10" s="5">
        <v>42065.867129745369</v>
      </c>
      <c r="G10" s="4" t="s">
        <v>60</v>
      </c>
      <c r="AC10" s="4" t="s">
        <v>97</v>
      </c>
      <c r="AD10" s="4" t="s">
        <v>96</v>
      </c>
      <c r="AE10" s="4" t="s">
        <v>18</v>
      </c>
      <c r="AF10" s="4" t="s">
        <v>94</v>
      </c>
      <c r="AG10" s="4" t="s">
        <v>18</v>
      </c>
      <c r="AH10" s="4" t="s">
        <v>95</v>
      </c>
      <c r="AJ10" s="4" t="s">
        <v>18</v>
      </c>
      <c r="AK10" s="4" t="s">
        <v>91</v>
      </c>
    </row>
    <row r="11" spans="1:38">
      <c r="A11" s="4" t="s">
        <v>89</v>
      </c>
      <c r="B11" s="4" t="s">
        <v>88</v>
      </c>
      <c r="C11" s="4" t="s">
        <v>90</v>
      </c>
      <c r="F11" s="5">
        <v>42065.8675693287</v>
      </c>
      <c r="G11" s="4" t="s">
        <v>98</v>
      </c>
      <c r="N11" s="4" t="s">
        <v>99</v>
      </c>
      <c r="AL11" s="4" t="s">
        <v>100</v>
      </c>
    </row>
    <row r="12" spans="1:38">
      <c r="A12" s="4" t="s">
        <v>89</v>
      </c>
      <c r="B12" s="4" t="s">
        <v>88</v>
      </c>
      <c r="C12" s="4" t="s">
        <v>90</v>
      </c>
      <c r="F12" s="5">
        <v>42065.8675693287</v>
      </c>
      <c r="G12" s="4" t="s">
        <v>98</v>
      </c>
      <c r="N12" s="4" t="s">
        <v>99</v>
      </c>
      <c r="AL12" s="4" t="s">
        <v>101</v>
      </c>
    </row>
    <row r="13" spans="1:38">
      <c r="A13" s="4" t="s">
        <v>89</v>
      </c>
      <c r="B13" s="4" t="s">
        <v>88</v>
      </c>
      <c r="C13" s="4" t="s">
        <v>90</v>
      </c>
      <c r="F13" s="5">
        <v>42065.8675693287</v>
      </c>
      <c r="G13" s="4" t="s">
        <v>98</v>
      </c>
      <c r="N13" s="4" t="s">
        <v>99</v>
      </c>
      <c r="AL13" s="4" t="s">
        <v>102</v>
      </c>
    </row>
    <row r="14" spans="1:38">
      <c r="A14" s="4" t="s">
        <v>89</v>
      </c>
      <c r="B14" s="4" t="s">
        <v>88</v>
      </c>
      <c r="C14" s="4" t="s">
        <v>90</v>
      </c>
      <c r="F14" s="5">
        <v>42065.8675693287</v>
      </c>
      <c r="G14" s="4" t="s">
        <v>98</v>
      </c>
      <c r="N14" s="4" t="s">
        <v>99</v>
      </c>
      <c r="AL14" s="4" t="s">
        <v>103</v>
      </c>
    </row>
    <row r="15" spans="1:38">
      <c r="A15" s="4" t="s">
        <v>89</v>
      </c>
      <c r="B15" s="4" t="s">
        <v>88</v>
      </c>
      <c r="C15" s="4" t="s">
        <v>90</v>
      </c>
      <c r="F15" s="5">
        <v>42065.867580706021</v>
      </c>
      <c r="G15" s="4" t="s">
        <v>98</v>
      </c>
      <c r="N15" s="4" t="s">
        <v>99</v>
      </c>
      <c r="AL15" s="4" t="s">
        <v>104</v>
      </c>
    </row>
    <row r="16" spans="1:38">
      <c r="A16" s="4" t="s">
        <v>89</v>
      </c>
      <c r="B16" s="4" t="s">
        <v>88</v>
      </c>
      <c r="C16" s="4" t="s">
        <v>90</v>
      </c>
      <c r="F16" s="5">
        <v>42065.867580706021</v>
      </c>
      <c r="G16" s="4" t="s">
        <v>98</v>
      </c>
      <c r="N16" s="4" t="s">
        <v>99</v>
      </c>
      <c r="AL16" s="4" t="s">
        <v>105</v>
      </c>
    </row>
    <row r="17" spans="1:38">
      <c r="A17" s="4" t="s">
        <v>89</v>
      </c>
      <c r="B17" s="4" t="s">
        <v>88</v>
      </c>
      <c r="C17" s="4" t="s">
        <v>90</v>
      </c>
      <c r="F17" s="5">
        <v>42065.867580706021</v>
      </c>
      <c r="G17" s="4" t="s">
        <v>98</v>
      </c>
      <c r="N17" s="4" t="s">
        <v>106</v>
      </c>
      <c r="AL17" s="4" t="s">
        <v>107</v>
      </c>
    </row>
    <row r="18" spans="1:38">
      <c r="A18" s="4" t="s">
        <v>89</v>
      </c>
      <c r="B18" s="4" t="s">
        <v>88</v>
      </c>
      <c r="C18" s="4" t="s">
        <v>90</v>
      </c>
      <c r="F18" s="5">
        <v>42065.867580706021</v>
      </c>
      <c r="G18" s="4" t="s">
        <v>98</v>
      </c>
      <c r="N18" s="4" t="s">
        <v>99</v>
      </c>
      <c r="AL18" s="4" t="s">
        <v>108</v>
      </c>
    </row>
    <row r="19" spans="1:38">
      <c r="A19" s="4" t="s">
        <v>89</v>
      </c>
      <c r="B19" s="4" t="s">
        <v>88</v>
      </c>
      <c r="C19" s="4" t="s">
        <v>90</v>
      </c>
      <c r="F19" s="5">
        <v>42065.867580706021</v>
      </c>
      <c r="G19" s="4" t="s">
        <v>98</v>
      </c>
      <c r="N19" s="4" t="s">
        <v>99</v>
      </c>
      <c r="AL19" s="4" t="s">
        <v>109</v>
      </c>
    </row>
    <row r="20" spans="1:38">
      <c r="A20" s="4" t="s">
        <v>89</v>
      </c>
      <c r="B20" s="4" t="s">
        <v>88</v>
      </c>
      <c r="C20" s="4" t="s">
        <v>90</v>
      </c>
      <c r="F20" s="5">
        <v>42065.867580706021</v>
      </c>
      <c r="G20" s="4" t="s">
        <v>98</v>
      </c>
      <c r="N20" s="4" t="s">
        <v>99</v>
      </c>
      <c r="AL20" s="4" t="s">
        <v>110</v>
      </c>
    </row>
    <row r="21" spans="1:38">
      <c r="A21" s="4" t="s">
        <v>89</v>
      </c>
      <c r="B21" s="4" t="s">
        <v>88</v>
      </c>
      <c r="C21" s="4" t="s">
        <v>90</v>
      </c>
      <c r="F21" s="5">
        <v>42065.867580706021</v>
      </c>
      <c r="G21" s="4" t="s">
        <v>98</v>
      </c>
      <c r="N21" s="4" t="s">
        <v>99</v>
      </c>
      <c r="AL21" s="4" t="s">
        <v>111</v>
      </c>
    </row>
    <row r="22" spans="1:38">
      <c r="A22" s="4" t="s">
        <v>89</v>
      </c>
      <c r="B22" s="4" t="s">
        <v>88</v>
      </c>
      <c r="C22" s="4" t="s">
        <v>90</v>
      </c>
      <c r="F22" s="5">
        <v>42065.867580706021</v>
      </c>
      <c r="G22" s="4" t="s">
        <v>98</v>
      </c>
      <c r="N22" s="4" t="s">
        <v>106</v>
      </c>
      <c r="AL22" s="4" t="s">
        <v>112</v>
      </c>
    </row>
    <row r="23" spans="1:38">
      <c r="A23" s="4" t="s">
        <v>89</v>
      </c>
      <c r="B23" s="4" t="s">
        <v>88</v>
      </c>
      <c r="C23" s="4" t="s">
        <v>90</v>
      </c>
      <c r="F23" s="5">
        <v>42065.867580706021</v>
      </c>
      <c r="G23" s="4" t="s">
        <v>98</v>
      </c>
      <c r="N23" s="4" t="s">
        <v>99</v>
      </c>
      <c r="AL23" s="4" t="s">
        <v>113</v>
      </c>
    </row>
    <row r="24" spans="1:38">
      <c r="A24" s="4" t="s">
        <v>89</v>
      </c>
      <c r="B24" s="4" t="s">
        <v>88</v>
      </c>
      <c r="C24" s="4" t="s">
        <v>90</v>
      </c>
      <c r="F24" s="5">
        <v>42065.867580706021</v>
      </c>
      <c r="G24" s="4" t="s">
        <v>98</v>
      </c>
      <c r="N24" s="4" t="s">
        <v>99</v>
      </c>
      <c r="AL24" s="4" t="s">
        <v>114</v>
      </c>
    </row>
    <row r="25" spans="1:38">
      <c r="A25" s="4" t="s">
        <v>89</v>
      </c>
      <c r="B25" s="4" t="s">
        <v>88</v>
      </c>
      <c r="C25" s="4" t="s">
        <v>90</v>
      </c>
      <c r="F25" s="5">
        <v>42065.867580706021</v>
      </c>
      <c r="G25" s="4" t="s">
        <v>98</v>
      </c>
      <c r="N25" s="4" t="s">
        <v>99</v>
      </c>
      <c r="AL25" s="4" t="s">
        <v>115</v>
      </c>
    </row>
    <row r="26" spans="1:38">
      <c r="A26" s="4" t="s">
        <v>89</v>
      </c>
      <c r="B26" s="4" t="s">
        <v>88</v>
      </c>
      <c r="C26" s="4" t="s">
        <v>90</v>
      </c>
      <c r="F26" s="5">
        <v>42065.867580706021</v>
      </c>
      <c r="G26" s="4" t="s">
        <v>98</v>
      </c>
      <c r="N26" s="4" t="s">
        <v>99</v>
      </c>
      <c r="AL26" s="4" t="s">
        <v>116</v>
      </c>
    </row>
    <row r="27" spans="1:38">
      <c r="A27" s="4" t="s">
        <v>89</v>
      </c>
      <c r="B27" s="4" t="s">
        <v>88</v>
      </c>
      <c r="C27" s="4" t="s">
        <v>90</v>
      </c>
      <c r="F27" s="5">
        <v>42065.86759065972</v>
      </c>
      <c r="G27" s="4" t="s">
        <v>98</v>
      </c>
      <c r="N27" s="4" t="s">
        <v>106</v>
      </c>
      <c r="AL27" s="4" t="s">
        <v>117</v>
      </c>
    </row>
    <row r="28" spans="1:38">
      <c r="A28" s="4" t="s">
        <v>89</v>
      </c>
      <c r="B28" s="4" t="s">
        <v>88</v>
      </c>
      <c r="C28" s="4" t="s">
        <v>90</v>
      </c>
      <c r="F28" s="5">
        <v>42065.86759065972</v>
      </c>
      <c r="G28" s="4" t="s">
        <v>98</v>
      </c>
      <c r="N28" s="4" t="s">
        <v>99</v>
      </c>
      <c r="AL28" s="4" t="s">
        <v>118</v>
      </c>
    </row>
    <row r="29" spans="1:38">
      <c r="A29" s="4" t="s">
        <v>89</v>
      </c>
      <c r="B29" s="4" t="s">
        <v>88</v>
      </c>
      <c r="C29" s="4" t="s">
        <v>90</v>
      </c>
      <c r="F29" s="5">
        <v>42065.86759065972</v>
      </c>
      <c r="G29" s="4" t="s">
        <v>98</v>
      </c>
      <c r="N29" s="4" t="s">
        <v>99</v>
      </c>
      <c r="AL29" s="4" t="s">
        <v>119</v>
      </c>
    </row>
    <row r="30" spans="1:38">
      <c r="A30" s="4" t="s">
        <v>89</v>
      </c>
      <c r="B30" s="4" t="s">
        <v>88</v>
      </c>
      <c r="C30" s="4" t="s">
        <v>90</v>
      </c>
      <c r="F30" s="5">
        <v>42065.86759065972</v>
      </c>
      <c r="G30" s="4" t="s">
        <v>98</v>
      </c>
      <c r="N30" s="4" t="s">
        <v>99</v>
      </c>
      <c r="AL30" s="4" t="s">
        <v>120</v>
      </c>
    </row>
    <row r="31" spans="1:38">
      <c r="A31" s="4" t="s">
        <v>89</v>
      </c>
      <c r="B31" s="4" t="s">
        <v>88</v>
      </c>
      <c r="C31" s="4" t="s">
        <v>90</v>
      </c>
      <c r="F31" s="5">
        <v>42065.86759065972</v>
      </c>
      <c r="G31" s="4" t="s">
        <v>98</v>
      </c>
      <c r="N31" s="4" t="s">
        <v>99</v>
      </c>
      <c r="AL31" s="4" t="s">
        <v>121</v>
      </c>
    </row>
    <row r="32" spans="1:38">
      <c r="A32" s="4" t="s">
        <v>89</v>
      </c>
      <c r="B32" s="4" t="s">
        <v>88</v>
      </c>
      <c r="C32" s="4" t="s">
        <v>90</v>
      </c>
      <c r="F32" s="5">
        <v>42065.86759065972</v>
      </c>
      <c r="G32" s="4" t="s">
        <v>98</v>
      </c>
      <c r="N32" s="4" t="s">
        <v>99</v>
      </c>
      <c r="AL32" s="4" t="s">
        <v>122</v>
      </c>
    </row>
    <row r="33" spans="1:38">
      <c r="A33" s="4" t="s">
        <v>89</v>
      </c>
      <c r="B33" s="4" t="s">
        <v>88</v>
      </c>
      <c r="C33" s="4" t="s">
        <v>90</v>
      </c>
      <c r="F33" s="5">
        <v>42065.86759065972</v>
      </c>
      <c r="G33" s="4" t="s">
        <v>98</v>
      </c>
      <c r="N33" s="4" t="s">
        <v>99</v>
      </c>
      <c r="AL33" s="4" t="s">
        <v>123</v>
      </c>
    </row>
    <row r="34" spans="1:38">
      <c r="A34" s="4" t="s">
        <v>89</v>
      </c>
      <c r="B34" s="4" t="s">
        <v>88</v>
      </c>
      <c r="C34" s="4" t="s">
        <v>90</v>
      </c>
      <c r="F34" s="5">
        <v>42065.86759065972</v>
      </c>
      <c r="G34" s="4" t="s">
        <v>98</v>
      </c>
      <c r="N34" s="4" t="s">
        <v>106</v>
      </c>
      <c r="AL34" s="4" t="s">
        <v>124</v>
      </c>
    </row>
    <row r="35" spans="1:38">
      <c r="A35" s="4" t="s">
        <v>89</v>
      </c>
      <c r="B35" s="4" t="s">
        <v>88</v>
      </c>
      <c r="C35" s="4" t="s">
        <v>90</v>
      </c>
      <c r="F35" s="5">
        <v>42065.86759065972</v>
      </c>
      <c r="G35" s="4" t="s">
        <v>98</v>
      </c>
      <c r="N35" s="4" t="s">
        <v>99</v>
      </c>
      <c r="AL35" s="4" t="s">
        <v>125</v>
      </c>
    </row>
    <row r="36" spans="1:38">
      <c r="A36" s="4" t="s">
        <v>89</v>
      </c>
      <c r="B36" s="4" t="s">
        <v>88</v>
      </c>
      <c r="C36" s="4" t="s">
        <v>90</v>
      </c>
      <c r="F36" s="5">
        <v>42065.86759065972</v>
      </c>
      <c r="G36" s="4" t="s">
        <v>98</v>
      </c>
      <c r="N36" s="4" t="s">
        <v>99</v>
      </c>
      <c r="AL36" s="4" t="s">
        <v>126</v>
      </c>
    </row>
    <row r="37" spans="1:38">
      <c r="A37" s="4" t="s">
        <v>89</v>
      </c>
      <c r="B37" s="4" t="s">
        <v>88</v>
      </c>
      <c r="C37" s="4" t="s">
        <v>90</v>
      </c>
      <c r="F37" s="5">
        <v>42065.86759065972</v>
      </c>
      <c r="G37" s="4" t="s">
        <v>98</v>
      </c>
      <c r="N37" s="4" t="s">
        <v>99</v>
      </c>
      <c r="AL37" s="4" t="s">
        <v>127</v>
      </c>
    </row>
    <row r="38" spans="1:38">
      <c r="A38" s="4" t="s">
        <v>89</v>
      </c>
      <c r="B38" s="4" t="s">
        <v>88</v>
      </c>
      <c r="C38" s="4" t="s">
        <v>90</v>
      </c>
      <c r="F38" s="5">
        <v>42065.86759065972</v>
      </c>
      <c r="G38" s="4" t="s">
        <v>98</v>
      </c>
      <c r="N38" s="4" t="s">
        <v>106</v>
      </c>
      <c r="AL38" s="4" t="s">
        <v>128</v>
      </c>
    </row>
    <row r="39" spans="1:38">
      <c r="A39" s="4" t="s">
        <v>89</v>
      </c>
      <c r="B39" s="4" t="s">
        <v>88</v>
      </c>
      <c r="C39" s="4" t="s">
        <v>90</v>
      </c>
      <c r="F39" s="5">
        <v>42065.867601122685</v>
      </c>
      <c r="G39" s="4" t="s">
        <v>98</v>
      </c>
      <c r="N39" s="4" t="s">
        <v>99</v>
      </c>
      <c r="AL39" s="4" t="s">
        <v>129</v>
      </c>
    </row>
    <row r="40" spans="1:38">
      <c r="A40" s="4" t="s">
        <v>89</v>
      </c>
      <c r="B40" s="4" t="s">
        <v>88</v>
      </c>
      <c r="C40" s="4" t="s">
        <v>90</v>
      </c>
      <c r="F40" s="5">
        <v>42065.867601122685</v>
      </c>
      <c r="G40" s="4" t="s">
        <v>98</v>
      </c>
      <c r="N40" s="4" t="s">
        <v>99</v>
      </c>
      <c r="AL40" s="4" t="s">
        <v>130</v>
      </c>
    </row>
    <row r="41" spans="1:38">
      <c r="A41" s="4" t="s">
        <v>89</v>
      </c>
      <c r="B41" s="4" t="s">
        <v>88</v>
      </c>
      <c r="C41" s="4" t="s">
        <v>90</v>
      </c>
      <c r="F41" s="5">
        <v>42065.867601122685</v>
      </c>
      <c r="G41" s="4" t="s">
        <v>98</v>
      </c>
      <c r="N41" s="4" t="s">
        <v>99</v>
      </c>
      <c r="AL41" s="4" t="s">
        <v>131</v>
      </c>
    </row>
    <row r="42" spans="1:38">
      <c r="A42" s="4" t="s">
        <v>89</v>
      </c>
      <c r="B42" s="4" t="s">
        <v>88</v>
      </c>
      <c r="C42" s="4" t="s">
        <v>90</v>
      </c>
      <c r="F42" s="5">
        <v>42065.867601122685</v>
      </c>
      <c r="G42" s="4" t="s">
        <v>98</v>
      </c>
      <c r="N42" s="4" t="s">
        <v>99</v>
      </c>
      <c r="AL42" s="4" t="s">
        <v>132</v>
      </c>
    </row>
    <row r="43" spans="1:38">
      <c r="A43" s="4" t="s">
        <v>89</v>
      </c>
      <c r="B43" s="4" t="s">
        <v>88</v>
      </c>
      <c r="C43" s="4" t="s">
        <v>90</v>
      </c>
      <c r="F43" s="5">
        <v>42065.867601122685</v>
      </c>
      <c r="G43" s="4" t="s">
        <v>98</v>
      </c>
      <c r="N43" s="4" t="s">
        <v>99</v>
      </c>
      <c r="AL43" s="4" t="s">
        <v>133</v>
      </c>
    </row>
    <row r="44" spans="1:38">
      <c r="A44" s="4" t="s">
        <v>89</v>
      </c>
      <c r="B44" s="4" t="s">
        <v>88</v>
      </c>
      <c r="C44" s="4" t="s">
        <v>90</v>
      </c>
      <c r="F44" s="5">
        <v>42065.867601122685</v>
      </c>
      <c r="G44" s="4" t="s">
        <v>98</v>
      </c>
      <c r="N44" s="4" t="s">
        <v>99</v>
      </c>
      <c r="AL44" s="4" t="s">
        <v>134</v>
      </c>
    </row>
    <row r="45" spans="1:38">
      <c r="A45" s="4" t="s">
        <v>89</v>
      </c>
      <c r="B45" s="4" t="s">
        <v>88</v>
      </c>
      <c r="C45" s="4" t="s">
        <v>90</v>
      </c>
      <c r="F45" s="5">
        <v>42065.867601122685</v>
      </c>
      <c r="G45" s="4" t="s">
        <v>98</v>
      </c>
      <c r="N45" s="4" t="s">
        <v>99</v>
      </c>
      <c r="AL45" s="4" t="s">
        <v>135</v>
      </c>
    </row>
    <row r="46" spans="1:38">
      <c r="A46" s="4" t="s">
        <v>89</v>
      </c>
      <c r="B46" s="4" t="s">
        <v>88</v>
      </c>
      <c r="C46" s="4" t="s">
        <v>90</v>
      </c>
      <c r="F46" s="5">
        <v>42065.867611805559</v>
      </c>
      <c r="G46" s="4" t="s">
        <v>98</v>
      </c>
      <c r="N46" s="4" t="s">
        <v>99</v>
      </c>
      <c r="AL46" s="4" t="s">
        <v>136</v>
      </c>
    </row>
    <row r="47" spans="1:38">
      <c r="A47" s="4" t="s">
        <v>89</v>
      </c>
      <c r="B47" s="4" t="s">
        <v>88</v>
      </c>
      <c r="C47" s="4" t="s">
        <v>90</v>
      </c>
      <c r="F47" s="5">
        <v>42065.867763310183</v>
      </c>
      <c r="G47" s="4" t="s">
        <v>98</v>
      </c>
      <c r="N47" s="4" t="s">
        <v>99</v>
      </c>
      <c r="AL47" s="4" t="s">
        <v>137</v>
      </c>
    </row>
    <row r="48" spans="1:38">
      <c r="A48" s="4" t="s">
        <v>89</v>
      </c>
      <c r="B48" s="4" t="s">
        <v>88</v>
      </c>
      <c r="C48" s="4" t="s">
        <v>90</v>
      </c>
      <c r="F48" s="5">
        <v>42065.867763310183</v>
      </c>
      <c r="G48" s="4" t="s">
        <v>98</v>
      </c>
      <c r="N48" s="4" t="s">
        <v>99</v>
      </c>
      <c r="AL48" s="4" t="s">
        <v>138</v>
      </c>
    </row>
    <row r="49" spans="1:38">
      <c r="A49" s="4" t="s">
        <v>89</v>
      </c>
      <c r="B49" s="4" t="s">
        <v>88</v>
      </c>
      <c r="C49" s="4" t="s">
        <v>90</v>
      </c>
      <c r="F49" s="5">
        <v>42065.867776157407</v>
      </c>
      <c r="G49" s="4" t="s">
        <v>98</v>
      </c>
      <c r="N49" s="4" t="s">
        <v>99</v>
      </c>
      <c r="AL49" s="4" t="s">
        <v>139</v>
      </c>
    </row>
    <row r="50" spans="1:38">
      <c r="A50" s="4" t="s">
        <v>89</v>
      </c>
      <c r="B50" s="4" t="s">
        <v>88</v>
      </c>
      <c r="C50" s="4" t="s">
        <v>90</v>
      </c>
      <c r="F50" s="5">
        <v>42065.867788460651</v>
      </c>
      <c r="G50" s="4" t="s">
        <v>98</v>
      </c>
      <c r="N50" s="4" t="s">
        <v>99</v>
      </c>
      <c r="AL50" s="4" t="s">
        <v>140</v>
      </c>
    </row>
    <row r="51" spans="1:38">
      <c r="A51" s="4" t="s">
        <v>89</v>
      </c>
      <c r="B51" s="4" t="s">
        <v>88</v>
      </c>
      <c r="C51" s="4" t="s">
        <v>90</v>
      </c>
      <c r="F51" s="5">
        <v>42065.867905092593</v>
      </c>
      <c r="G51" s="4" t="s">
        <v>59</v>
      </c>
      <c r="AC51" s="4" t="s">
        <v>144</v>
      </c>
      <c r="AD51" s="4" t="s">
        <v>143</v>
      </c>
      <c r="AE51" s="4" t="s">
        <v>18</v>
      </c>
      <c r="AF51" s="4" t="s">
        <v>94</v>
      </c>
      <c r="AI51" s="4">
        <v>14.254200000000001</v>
      </c>
      <c r="AJ51" s="4" t="s">
        <v>142</v>
      </c>
      <c r="AK51" s="4" t="s">
        <v>141</v>
      </c>
    </row>
    <row r="52" spans="1:38">
      <c r="A52" s="4" t="s">
        <v>89</v>
      </c>
      <c r="B52" s="4" t="s">
        <v>88</v>
      </c>
      <c r="C52" s="4" t="s">
        <v>90</v>
      </c>
      <c r="F52" s="5">
        <v>42065.86790853009</v>
      </c>
      <c r="G52" s="4" t="s">
        <v>59</v>
      </c>
      <c r="AC52" s="4" t="s">
        <v>144</v>
      </c>
      <c r="AD52" s="4" t="s">
        <v>143</v>
      </c>
      <c r="AE52" s="4" t="s">
        <v>18</v>
      </c>
      <c r="AF52" s="4" t="s">
        <v>94</v>
      </c>
      <c r="AI52" s="4">
        <v>14.003740000000001</v>
      </c>
      <c r="AJ52" s="4" t="s">
        <v>142</v>
      </c>
      <c r="AK52" s="4" t="s">
        <v>141</v>
      </c>
    </row>
    <row r="53" spans="1:38">
      <c r="A53" s="4" t="s">
        <v>89</v>
      </c>
      <c r="B53" s="4" t="s">
        <v>88</v>
      </c>
      <c r="C53" s="4" t="s">
        <v>90</v>
      </c>
      <c r="F53" s="5">
        <v>42065.867924768521</v>
      </c>
      <c r="G53" s="4" t="s">
        <v>59</v>
      </c>
      <c r="AC53" s="4" t="s">
        <v>144</v>
      </c>
      <c r="AD53" s="4" t="s">
        <v>143</v>
      </c>
      <c r="AE53" s="4" t="s">
        <v>18</v>
      </c>
      <c r="AF53" s="4" t="s">
        <v>94</v>
      </c>
      <c r="AI53" s="4">
        <v>13.932180000000001</v>
      </c>
      <c r="AJ53" s="4" t="s">
        <v>142</v>
      </c>
      <c r="AK53" s="4" t="s">
        <v>141</v>
      </c>
    </row>
    <row r="54" spans="1:38">
      <c r="A54" s="4" t="s">
        <v>89</v>
      </c>
      <c r="B54" s="4" t="s">
        <v>88</v>
      </c>
      <c r="C54" s="4" t="s">
        <v>90</v>
      </c>
      <c r="F54" s="5">
        <v>42065.867980439813</v>
      </c>
      <c r="G54" s="4" t="s">
        <v>98</v>
      </c>
      <c r="N54" s="4" t="s">
        <v>99</v>
      </c>
      <c r="AL54" s="4" t="s">
        <v>145</v>
      </c>
    </row>
    <row r="55" spans="1:38">
      <c r="A55" s="4" t="s">
        <v>89</v>
      </c>
      <c r="B55" s="4" t="s">
        <v>88</v>
      </c>
      <c r="C55" s="4" t="s">
        <v>90</v>
      </c>
      <c r="F55" s="5">
        <v>42065.867980439813</v>
      </c>
      <c r="G55" s="4" t="s">
        <v>98</v>
      </c>
      <c r="N55" s="4" t="s">
        <v>99</v>
      </c>
      <c r="AL55" s="4" t="s">
        <v>146</v>
      </c>
    </row>
    <row r="56" spans="1:38">
      <c r="A56" s="4" t="s">
        <v>89</v>
      </c>
      <c r="B56" s="4" t="s">
        <v>88</v>
      </c>
      <c r="C56" s="4" t="s">
        <v>90</v>
      </c>
      <c r="F56" s="5">
        <v>42065.867980439813</v>
      </c>
      <c r="G56" s="4" t="s">
        <v>98</v>
      </c>
      <c r="N56" s="4" t="s">
        <v>99</v>
      </c>
      <c r="AL56" s="4" t="s">
        <v>147</v>
      </c>
    </row>
    <row r="57" spans="1:38">
      <c r="A57" s="4" t="s">
        <v>89</v>
      </c>
      <c r="B57" s="4" t="s">
        <v>88</v>
      </c>
      <c r="C57" s="4" t="s">
        <v>90</v>
      </c>
      <c r="F57" s="5">
        <v>42065.867980439813</v>
      </c>
      <c r="G57" s="4" t="s">
        <v>98</v>
      </c>
      <c r="N57" s="4" t="s">
        <v>99</v>
      </c>
      <c r="AL57" s="4" t="s">
        <v>148</v>
      </c>
    </row>
    <row r="58" spans="1:38">
      <c r="A58" s="4" t="s">
        <v>89</v>
      </c>
      <c r="B58" s="4" t="s">
        <v>88</v>
      </c>
      <c r="C58" s="4" t="s">
        <v>90</v>
      </c>
      <c r="F58" s="5">
        <v>42065.867980439813</v>
      </c>
      <c r="G58" s="4" t="s">
        <v>98</v>
      </c>
      <c r="N58" s="4" t="s">
        <v>99</v>
      </c>
      <c r="AL58" s="4" t="s">
        <v>149</v>
      </c>
    </row>
    <row r="59" spans="1:38">
      <c r="A59" s="4" t="s">
        <v>89</v>
      </c>
      <c r="B59" s="4" t="s">
        <v>88</v>
      </c>
      <c r="C59" s="4" t="s">
        <v>90</v>
      </c>
      <c r="F59" s="5">
        <v>42065.867980439813</v>
      </c>
      <c r="G59" s="4" t="s">
        <v>98</v>
      </c>
      <c r="N59" s="4" t="s">
        <v>99</v>
      </c>
      <c r="AL59" s="4" t="s">
        <v>150</v>
      </c>
    </row>
    <row r="60" spans="1:38">
      <c r="A60" s="4" t="s">
        <v>89</v>
      </c>
      <c r="B60" s="4" t="s">
        <v>88</v>
      </c>
      <c r="C60" s="4" t="s">
        <v>90</v>
      </c>
      <c r="F60" s="5">
        <v>42065.867980439813</v>
      </c>
      <c r="G60" s="4" t="s">
        <v>98</v>
      </c>
      <c r="N60" s="4" t="s">
        <v>99</v>
      </c>
      <c r="AL60" s="4" t="s">
        <v>151</v>
      </c>
    </row>
    <row r="61" spans="1:38">
      <c r="A61" s="4" t="s">
        <v>89</v>
      </c>
      <c r="B61" s="4" t="s">
        <v>88</v>
      </c>
      <c r="C61" s="4" t="s">
        <v>90</v>
      </c>
      <c r="F61" s="5">
        <v>42065.867980439813</v>
      </c>
      <c r="G61" s="4" t="s">
        <v>98</v>
      </c>
      <c r="N61" s="4" t="s">
        <v>99</v>
      </c>
      <c r="AL61" s="4" t="s">
        <v>152</v>
      </c>
    </row>
    <row r="62" spans="1:38">
      <c r="A62" s="4" t="s">
        <v>89</v>
      </c>
      <c r="B62" s="4" t="s">
        <v>88</v>
      </c>
      <c r="C62" s="4" t="s">
        <v>90</v>
      </c>
      <c r="F62" s="5">
        <v>42065.867980439813</v>
      </c>
      <c r="G62" s="4" t="s">
        <v>98</v>
      </c>
      <c r="N62" s="4" t="s">
        <v>99</v>
      </c>
      <c r="AL62" s="4" t="s">
        <v>153</v>
      </c>
    </row>
    <row r="63" spans="1:38">
      <c r="A63" s="4" t="s">
        <v>89</v>
      </c>
      <c r="B63" s="4" t="s">
        <v>88</v>
      </c>
      <c r="C63" s="4" t="s">
        <v>90</v>
      </c>
      <c r="F63" s="5">
        <v>42065.867980439813</v>
      </c>
      <c r="G63" s="4" t="s">
        <v>98</v>
      </c>
      <c r="N63" s="4" t="s">
        <v>99</v>
      </c>
      <c r="AL63" s="4" t="s">
        <v>154</v>
      </c>
    </row>
    <row r="64" spans="1:38">
      <c r="A64" s="4" t="s">
        <v>89</v>
      </c>
      <c r="B64" s="4" t="s">
        <v>88</v>
      </c>
      <c r="C64" s="4" t="s">
        <v>90</v>
      </c>
      <c r="F64" s="5">
        <v>42065.867980439813</v>
      </c>
      <c r="G64" s="4" t="s">
        <v>98</v>
      </c>
      <c r="N64" s="4" t="s">
        <v>99</v>
      </c>
      <c r="AL64" s="4" t="s">
        <v>155</v>
      </c>
    </row>
    <row r="65" spans="1:38">
      <c r="A65" s="4" t="s">
        <v>89</v>
      </c>
      <c r="B65" s="4" t="s">
        <v>88</v>
      </c>
      <c r="C65" s="4" t="s">
        <v>90</v>
      </c>
      <c r="F65" s="5">
        <v>42065.867980439813</v>
      </c>
      <c r="G65" s="4" t="s">
        <v>98</v>
      </c>
      <c r="N65" s="4" t="s">
        <v>99</v>
      </c>
      <c r="AL65" s="4" t="s">
        <v>156</v>
      </c>
    </row>
    <row r="66" spans="1:38">
      <c r="A66" s="4" t="s">
        <v>89</v>
      </c>
      <c r="B66" s="4" t="s">
        <v>88</v>
      </c>
      <c r="C66" s="4" t="s">
        <v>90</v>
      </c>
      <c r="F66" s="5">
        <v>42065.867986111109</v>
      </c>
      <c r="G66" s="4" t="s">
        <v>59</v>
      </c>
      <c r="AC66" s="4" t="s">
        <v>6</v>
      </c>
      <c r="AD66" s="4" t="s">
        <v>157</v>
      </c>
      <c r="AE66" s="4" t="s">
        <v>18</v>
      </c>
      <c r="AF66" s="4" t="s">
        <v>94</v>
      </c>
      <c r="AI66" s="4">
        <v>1</v>
      </c>
      <c r="AJ66" s="4" t="s">
        <v>18</v>
      </c>
      <c r="AK66" s="4" t="s">
        <v>91</v>
      </c>
    </row>
    <row r="67" spans="1:38">
      <c r="A67" s="4" t="s">
        <v>89</v>
      </c>
      <c r="B67" s="4" t="s">
        <v>88</v>
      </c>
      <c r="C67" s="4" t="s">
        <v>90</v>
      </c>
      <c r="F67" s="5">
        <v>42065.867986111109</v>
      </c>
      <c r="G67" s="4" t="s">
        <v>19</v>
      </c>
      <c r="H67" s="4">
        <v>0</v>
      </c>
      <c r="I67" s="4">
        <v>139.40158</v>
      </c>
      <c r="J67" s="4">
        <v>35.568950000000001</v>
      </c>
      <c r="K67" s="4" t="s">
        <v>158</v>
      </c>
      <c r="N67" s="4" t="s">
        <v>159</v>
      </c>
      <c r="O67" s="4" t="b">
        <v>1</v>
      </c>
      <c r="P67" s="4" t="b">
        <v>0</v>
      </c>
      <c r="Q67" s="4" t="b">
        <v>0</v>
      </c>
      <c r="R67" s="4" t="b">
        <v>0</v>
      </c>
      <c r="S67" s="4" t="b">
        <v>0</v>
      </c>
      <c r="T67" s="4" t="b">
        <v>0</v>
      </c>
      <c r="U67" s="4" t="b">
        <v>0</v>
      </c>
      <c r="V67" s="4" t="b">
        <v>0</v>
      </c>
      <c r="W67" s="4" t="b">
        <v>0</v>
      </c>
      <c r="X67" s="4" t="b">
        <v>1</v>
      </c>
      <c r="Y67" s="4" t="b">
        <v>1</v>
      </c>
    </row>
    <row r="68" spans="1:38">
      <c r="A68" s="4" t="s">
        <v>89</v>
      </c>
      <c r="B68" s="4" t="s">
        <v>88</v>
      </c>
      <c r="C68" s="4" t="s">
        <v>90</v>
      </c>
      <c r="F68" s="5">
        <v>42065.867986377314</v>
      </c>
      <c r="G68" s="4" t="s">
        <v>98</v>
      </c>
      <c r="N68" s="4" t="s">
        <v>160</v>
      </c>
      <c r="AL68" s="4" t="s">
        <v>161</v>
      </c>
    </row>
    <row r="69" spans="1:38">
      <c r="A69" s="4" t="s">
        <v>89</v>
      </c>
      <c r="B69" s="4" t="s">
        <v>88</v>
      </c>
      <c r="C69" s="4" t="s">
        <v>90</v>
      </c>
      <c r="F69" s="5">
        <v>42065.867986423611</v>
      </c>
      <c r="G69" s="4" t="s">
        <v>59</v>
      </c>
      <c r="AC69" s="4" t="s">
        <v>165</v>
      </c>
      <c r="AD69" s="4" t="s">
        <v>164</v>
      </c>
      <c r="AE69" s="4" t="s">
        <v>18</v>
      </c>
      <c r="AF69" s="4" t="s">
        <v>94</v>
      </c>
      <c r="AI69" s="4">
        <v>1600.25</v>
      </c>
      <c r="AJ69" s="4" t="s">
        <v>163</v>
      </c>
      <c r="AK69" s="4" t="s">
        <v>162</v>
      </c>
    </row>
    <row r="70" spans="1:38">
      <c r="A70" s="4" t="s">
        <v>89</v>
      </c>
      <c r="B70" s="4" t="s">
        <v>88</v>
      </c>
      <c r="C70" s="4" t="s">
        <v>90</v>
      </c>
      <c r="F70" s="5">
        <v>42065.86798761574</v>
      </c>
      <c r="G70" s="4" t="s">
        <v>98</v>
      </c>
      <c r="N70" s="4" t="s">
        <v>166</v>
      </c>
      <c r="AL70" s="4" t="s">
        <v>167</v>
      </c>
    </row>
    <row r="71" spans="1:38">
      <c r="A71" s="4" t="s">
        <v>89</v>
      </c>
      <c r="B71" s="4" t="s">
        <v>88</v>
      </c>
      <c r="C71" s="4" t="s">
        <v>90</v>
      </c>
      <c r="F71" s="5">
        <v>42065.86798761574</v>
      </c>
      <c r="G71" s="4" t="s">
        <v>98</v>
      </c>
      <c r="N71" s="4" t="s">
        <v>166</v>
      </c>
      <c r="AL71" s="4" t="s">
        <v>168</v>
      </c>
    </row>
    <row r="72" spans="1:38">
      <c r="A72" s="4" t="s">
        <v>89</v>
      </c>
      <c r="B72" s="4" t="s">
        <v>88</v>
      </c>
      <c r="C72" s="4" t="s">
        <v>90</v>
      </c>
      <c r="F72" s="5">
        <v>42065.867996562498</v>
      </c>
      <c r="G72" s="4" t="s">
        <v>98</v>
      </c>
      <c r="N72" s="4" t="s">
        <v>99</v>
      </c>
      <c r="AL72" s="4" t="s">
        <v>169</v>
      </c>
    </row>
    <row r="73" spans="1:38">
      <c r="A73" s="4" t="s">
        <v>89</v>
      </c>
      <c r="B73" s="4" t="s">
        <v>88</v>
      </c>
      <c r="C73" s="4" t="s">
        <v>90</v>
      </c>
      <c r="F73" s="5">
        <v>42065.867996562498</v>
      </c>
      <c r="G73" s="4" t="s">
        <v>98</v>
      </c>
      <c r="N73" s="4" t="s">
        <v>99</v>
      </c>
      <c r="AL73" s="4" t="s">
        <v>170</v>
      </c>
    </row>
    <row r="74" spans="1:38">
      <c r="A74" s="4" t="s">
        <v>89</v>
      </c>
      <c r="B74" s="4" t="s">
        <v>88</v>
      </c>
      <c r="C74" s="4" t="s">
        <v>90</v>
      </c>
      <c r="F74" s="5">
        <v>42065.867996562498</v>
      </c>
      <c r="G74" s="4" t="s">
        <v>98</v>
      </c>
      <c r="N74" s="4" t="s">
        <v>99</v>
      </c>
      <c r="AL74" s="4" t="s">
        <v>171</v>
      </c>
    </row>
    <row r="75" spans="1:38">
      <c r="A75" s="4" t="s">
        <v>89</v>
      </c>
      <c r="B75" s="4" t="s">
        <v>88</v>
      </c>
      <c r="C75" s="4" t="s">
        <v>90</v>
      </c>
      <c r="F75" s="5">
        <v>42065.867996562498</v>
      </c>
      <c r="G75" s="4" t="s">
        <v>98</v>
      </c>
      <c r="N75" s="4" t="s">
        <v>99</v>
      </c>
      <c r="AL75" s="4" t="s">
        <v>172</v>
      </c>
    </row>
    <row r="76" spans="1:38">
      <c r="A76" s="4" t="s">
        <v>89</v>
      </c>
      <c r="B76" s="4" t="s">
        <v>88</v>
      </c>
      <c r="C76" s="4" t="s">
        <v>90</v>
      </c>
      <c r="F76" s="5">
        <v>42065.867996562498</v>
      </c>
      <c r="G76" s="4" t="s">
        <v>98</v>
      </c>
      <c r="N76" s="4" t="s">
        <v>99</v>
      </c>
      <c r="AL76" s="4" t="s">
        <v>173</v>
      </c>
    </row>
    <row r="77" spans="1:38">
      <c r="A77" s="4" t="s">
        <v>89</v>
      </c>
      <c r="B77" s="4" t="s">
        <v>88</v>
      </c>
      <c r="C77" s="4" t="s">
        <v>90</v>
      </c>
      <c r="F77" s="5">
        <v>42065.867996562498</v>
      </c>
      <c r="G77" s="4" t="s">
        <v>98</v>
      </c>
      <c r="N77" s="4" t="s">
        <v>99</v>
      </c>
      <c r="AL77" s="4" t="s">
        <v>174</v>
      </c>
    </row>
    <row r="78" spans="1:38">
      <c r="A78" s="4" t="s">
        <v>89</v>
      </c>
      <c r="B78" s="4" t="s">
        <v>88</v>
      </c>
      <c r="C78" s="4" t="s">
        <v>90</v>
      </c>
      <c r="F78" s="5">
        <v>42065.867996562498</v>
      </c>
      <c r="G78" s="4" t="s">
        <v>98</v>
      </c>
      <c r="N78" s="4" t="s">
        <v>99</v>
      </c>
      <c r="AL78" s="4" t="s">
        <v>175</v>
      </c>
    </row>
    <row r="79" spans="1:38">
      <c r="A79" s="4" t="s">
        <v>89</v>
      </c>
      <c r="B79" s="4" t="s">
        <v>88</v>
      </c>
      <c r="C79" s="4" t="s">
        <v>90</v>
      </c>
      <c r="F79" s="5">
        <v>42065.867996562498</v>
      </c>
      <c r="G79" s="4" t="s">
        <v>98</v>
      </c>
      <c r="N79" s="4" t="s">
        <v>99</v>
      </c>
      <c r="AL79" s="4" t="s">
        <v>176</v>
      </c>
    </row>
    <row r="80" spans="1:38">
      <c r="A80" s="4" t="s">
        <v>89</v>
      </c>
      <c r="B80" s="4" t="s">
        <v>88</v>
      </c>
      <c r="C80" s="4" t="s">
        <v>90</v>
      </c>
      <c r="F80" s="5">
        <v>42065.867996562498</v>
      </c>
      <c r="G80" s="4" t="s">
        <v>98</v>
      </c>
      <c r="N80" s="4" t="s">
        <v>99</v>
      </c>
      <c r="AL80" s="4" t="s">
        <v>177</v>
      </c>
    </row>
    <row r="81" spans="1:38">
      <c r="A81" s="4" t="s">
        <v>89</v>
      </c>
      <c r="B81" s="4" t="s">
        <v>88</v>
      </c>
      <c r="C81" s="4" t="s">
        <v>90</v>
      </c>
      <c r="F81" s="5">
        <v>42065.867996562498</v>
      </c>
      <c r="G81" s="4" t="s">
        <v>98</v>
      </c>
      <c r="N81" s="4" t="s">
        <v>99</v>
      </c>
      <c r="AL81" s="4" t="s">
        <v>178</v>
      </c>
    </row>
    <row r="82" spans="1:38">
      <c r="A82" s="4" t="s">
        <v>89</v>
      </c>
      <c r="B82" s="4" t="s">
        <v>88</v>
      </c>
      <c r="C82" s="4" t="s">
        <v>90</v>
      </c>
      <c r="F82" s="5">
        <v>42065.867996562498</v>
      </c>
      <c r="G82" s="4" t="s">
        <v>98</v>
      </c>
      <c r="N82" s="4" t="s">
        <v>99</v>
      </c>
      <c r="AL82" s="4" t="s">
        <v>179</v>
      </c>
    </row>
    <row r="83" spans="1:38">
      <c r="A83" s="4" t="s">
        <v>89</v>
      </c>
      <c r="B83" s="4" t="s">
        <v>88</v>
      </c>
      <c r="C83" s="4" t="s">
        <v>90</v>
      </c>
      <c r="F83" s="5">
        <v>42065.867997650465</v>
      </c>
      <c r="G83" s="4" t="s">
        <v>98</v>
      </c>
      <c r="N83" s="4" t="s">
        <v>180</v>
      </c>
      <c r="AL83" s="4" t="s">
        <v>181</v>
      </c>
    </row>
    <row r="84" spans="1:38">
      <c r="A84" s="4" t="s">
        <v>89</v>
      </c>
      <c r="B84" s="4" t="s">
        <v>88</v>
      </c>
      <c r="C84" s="4" t="s">
        <v>90</v>
      </c>
      <c r="F84" s="5">
        <v>42065.867997650465</v>
      </c>
      <c r="G84" s="4" t="s">
        <v>98</v>
      </c>
      <c r="N84" s="4" t="s">
        <v>182</v>
      </c>
      <c r="AL84" s="4" t="s">
        <v>181</v>
      </c>
    </row>
    <row r="85" spans="1:38">
      <c r="A85" s="4" t="s">
        <v>89</v>
      </c>
      <c r="B85" s="4" t="s">
        <v>88</v>
      </c>
      <c r="C85" s="4" t="s">
        <v>90</v>
      </c>
      <c r="F85" s="5">
        <v>42065.867997685185</v>
      </c>
      <c r="G85" s="4" t="s">
        <v>59</v>
      </c>
      <c r="AC85" s="4" t="s">
        <v>165</v>
      </c>
      <c r="AD85" s="4" t="s">
        <v>164</v>
      </c>
      <c r="AE85" s="4" t="s">
        <v>18</v>
      </c>
      <c r="AF85" s="4" t="s">
        <v>94</v>
      </c>
      <c r="AI85" s="4">
        <v>1611.5</v>
      </c>
      <c r="AJ85" s="4" t="s">
        <v>163</v>
      </c>
      <c r="AK85" s="4" t="s">
        <v>162</v>
      </c>
    </row>
    <row r="86" spans="1:38">
      <c r="A86" s="4" t="s">
        <v>89</v>
      </c>
      <c r="B86" s="4" t="s">
        <v>88</v>
      </c>
      <c r="C86" s="4" t="s">
        <v>90</v>
      </c>
      <c r="F86" s="5">
        <v>42065.867998877315</v>
      </c>
      <c r="G86" s="4" t="s">
        <v>98</v>
      </c>
      <c r="N86" s="4" t="s">
        <v>166</v>
      </c>
      <c r="AL86" s="4" t="s">
        <v>167</v>
      </c>
    </row>
    <row r="87" spans="1:38">
      <c r="A87" s="4" t="s">
        <v>89</v>
      </c>
      <c r="B87" s="4" t="s">
        <v>88</v>
      </c>
      <c r="C87" s="4" t="s">
        <v>90</v>
      </c>
      <c r="F87" s="5">
        <v>42065.867998877315</v>
      </c>
      <c r="G87" s="4" t="s">
        <v>98</v>
      </c>
      <c r="N87" s="4" t="s">
        <v>166</v>
      </c>
      <c r="AL87" s="4" t="s">
        <v>168</v>
      </c>
    </row>
    <row r="88" spans="1:38">
      <c r="A88" s="4" t="s">
        <v>89</v>
      </c>
      <c r="B88" s="4" t="s">
        <v>88</v>
      </c>
      <c r="C88" s="4" t="s">
        <v>90</v>
      </c>
      <c r="F88" s="5">
        <v>42065.868006331017</v>
      </c>
      <c r="G88" s="4" t="s">
        <v>98</v>
      </c>
      <c r="N88" s="4" t="s">
        <v>99</v>
      </c>
      <c r="AL88" s="4" t="s">
        <v>183</v>
      </c>
    </row>
    <row r="89" spans="1:38">
      <c r="A89" s="4" t="s">
        <v>89</v>
      </c>
      <c r="B89" s="4" t="s">
        <v>88</v>
      </c>
      <c r="C89" s="4" t="s">
        <v>90</v>
      </c>
      <c r="F89" s="5">
        <v>42065.868006331017</v>
      </c>
      <c r="G89" s="4" t="s">
        <v>98</v>
      </c>
      <c r="N89" s="4" t="s">
        <v>106</v>
      </c>
      <c r="AL89" s="4" t="s">
        <v>184</v>
      </c>
    </row>
    <row r="90" spans="1:38">
      <c r="A90" s="4" t="s">
        <v>89</v>
      </c>
      <c r="B90" s="4" t="s">
        <v>88</v>
      </c>
      <c r="C90" s="4" t="s">
        <v>90</v>
      </c>
      <c r="F90" s="5">
        <v>42065.868006331017</v>
      </c>
      <c r="G90" s="4" t="s">
        <v>98</v>
      </c>
      <c r="N90" s="4" t="s">
        <v>106</v>
      </c>
      <c r="AL90" s="4" t="s">
        <v>185</v>
      </c>
    </row>
    <row r="91" spans="1:38">
      <c r="A91" s="4" t="s">
        <v>89</v>
      </c>
      <c r="B91" s="4" t="s">
        <v>88</v>
      </c>
      <c r="C91" s="4" t="s">
        <v>90</v>
      </c>
      <c r="F91" s="5">
        <v>42065.868006331017</v>
      </c>
      <c r="G91" s="4" t="s">
        <v>98</v>
      </c>
      <c r="N91" s="4" t="s">
        <v>99</v>
      </c>
      <c r="AL91" s="4" t="s">
        <v>186</v>
      </c>
    </row>
    <row r="92" spans="1:38">
      <c r="A92" s="4" t="s">
        <v>89</v>
      </c>
      <c r="B92" s="4" t="s">
        <v>88</v>
      </c>
      <c r="C92" s="4" t="s">
        <v>90</v>
      </c>
      <c r="F92" s="5">
        <v>42065.868006331017</v>
      </c>
      <c r="G92" s="4" t="s">
        <v>98</v>
      </c>
      <c r="N92" s="4" t="s">
        <v>99</v>
      </c>
      <c r="AL92" s="4" t="s">
        <v>187</v>
      </c>
    </row>
    <row r="93" spans="1:38">
      <c r="A93" s="4" t="s">
        <v>89</v>
      </c>
      <c r="B93" s="4" t="s">
        <v>88</v>
      </c>
      <c r="C93" s="4" t="s">
        <v>90</v>
      </c>
      <c r="F93" s="5">
        <v>42065.868006331017</v>
      </c>
      <c r="G93" s="4" t="s">
        <v>98</v>
      </c>
      <c r="N93" s="4" t="s">
        <v>99</v>
      </c>
      <c r="AL93" s="4" t="s">
        <v>188</v>
      </c>
    </row>
    <row r="94" spans="1:38">
      <c r="A94" s="4" t="s">
        <v>89</v>
      </c>
      <c r="B94" s="4" t="s">
        <v>88</v>
      </c>
      <c r="C94" s="4" t="s">
        <v>90</v>
      </c>
      <c r="F94" s="5">
        <v>42065.868006331017</v>
      </c>
      <c r="G94" s="4" t="s">
        <v>98</v>
      </c>
      <c r="N94" s="4" t="s">
        <v>99</v>
      </c>
      <c r="AL94" s="4" t="s">
        <v>189</v>
      </c>
    </row>
    <row r="95" spans="1:38">
      <c r="A95" s="4" t="s">
        <v>89</v>
      </c>
      <c r="B95" s="4" t="s">
        <v>88</v>
      </c>
      <c r="C95" s="4" t="s">
        <v>90</v>
      </c>
      <c r="F95" s="5">
        <v>42065.868010532409</v>
      </c>
      <c r="G95" s="4" t="s">
        <v>98</v>
      </c>
      <c r="N95" s="4" t="s">
        <v>166</v>
      </c>
      <c r="AL95" s="4" t="s">
        <v>190</v>
      </c>
    </row>
    <row r="96" spans="1:38">
      <c r="A96" s="4" t="s">
        <v>89</v>
      </c>
      <c r="B96" s="4" t="s">
        <v>88</v>
      </c>
      <c r="C96" s="4" t="s">
        <v>90</v>
      </c>
      <c r="F96" s="5">
        <v>42065.868010532409</v>
      </c>
      <c r="G96" s="4" t="s">
        <v>98</v>
      </c>
      <c r="N96" s="4" t="s">
        <v>166</v>
      </c>
      <c r="AL96" s="4" t="s">
        <v>191</v>
      </c>
    </row>
    <row r="97" spans="1:38">
      <c r="A97" s="4" t="s">
        <v>89</v>
      </c>
      <c r="B97" s="4" t="s">
        <v>88</v>
      </c>
      <c r="C97" s="4" t="s">
        <v>90</v>
      </c>
      <c r="F97" s="5">
        <v>42065.868019641202</v>
      </c>
      <c r="G97" s="4" t="s">
        <v>59</v>
      </c>
      <c r="AC97" s="4" t="s">
        <v>144</v>
      </c>
      <c r="AD97" s="4" t="s">
        <v>143</v>
      </c>
      <c r="AE97" s="4" t="s">
        <v>18</v>
      </c>
      <c r="AF97" s="4" t="s">
        <v>94</v>
      </c>
      <c r="AI97" s="4">
        <v>14.003740000000001</v>
      </c>
      <c r="AJ97" s="4" t="s">
        <v>142</v>
      </c>
      <c r="AK97" s="4" t="s">
        <v>141</v>
      </c>
    </row>
    <row r="98" spans="1:38">
      <c r="A98" s="4" t="s">
        <v>89</v>
      </c>
      <c r="B98" s="4" t="s">
        <v>88</v>
      </c>
      <c r="C98" s="4" t="s">
        <v>90</v>
      </c>
      <c r="F98" s="5">
        <v>42065.868022025461</v>
      </c>
      <c r="G98" s="4" t="s">
        <v>98</v>
      </c>
      <c r="N98" s="4" t="s">
        <v>166</v>
      </c>
      <c r="AL98" s="4" t="s">
        <v>190</v>
      </c>
    </row>
    <row r="99" spans="1:38">
      <c r="A99" s="4" t="s">
        <v>89</v>
      </c>
      <c r="B99" s="4" t="s">
        <v>88</v>
      </c>
      <c r="C99" s="4" t="s">
        <v>90</v>
      </c>
      <c r="F99" s="5">
        <v>42065.868022071758</v>
      </c>
      <c r="G99" s="4" t="s">
        <v>98</v>
      </c>
      <c r="N99" s="4" t="s">
        <v>166</v>
      </c>
      <c r="AL99" s="4" t="s">
        <v>191</v>
      </c>
    </row>
    <row r="100" spans="1:38">
      <c r="A100" s="4" t="s">
        <v>89</v>
      </c>
      <c r="B100" s="4" t="s">
        <v>88</v>
      </c>
      <c r="C100" s="4" t="s">
        <v>90</v>
      </c>
      <c r="F100" s="5">
        <v>42065.868033680556</v>
      </c>
      <c r="G100" s="4" t="s">
        <v>98</v>
      </c>
      <c r="N100" s="4" t="s">
        <v>166</v>
      </c>
      <c r="AL100" s="4" t="s">
        <v>190</v>
      </c>
    </row>
    <row r="101" spans="1:38">
      <c r="A101" s="4" t="s">
        <v>89</v>
      </c>
      <c r="B101" s="4" t="s">
        <v>88</v>
      </c>
      <c r="C101" s="4" t="s">
        <v>90</v>
      </c>
      <c r="F101" s="5">
        <v>42065.868033715276</v>
      </c>
      <c r="G101" s="4" t="s">
        <v>98</v>
      </c>
      <c r="N101" s="4" t="s">
        <v>166</v>
      </c>
      <c r="AL101" s="4" t="s">
        <v>191</v>
      </c>
    </row>
    <row r="102" spans="1:38">
      <c r="A102" s="4" t="s">
        <v>89</v>
      </c>
      <c r="B102" s="4" t="s">
        <v>88</v>
      </c>
      <c r="C102" s="4" t="s">
        <v>90</v>
      </c>
      <c r="F102" s="5">
        <v>42065.868045254632</v>
      </c>
      <c r="G102" s="4" t="s">
        <v>98</v>
      </c>
      <c r="N102" s="4" t="s">
        <v>166</v>
      </c>
      <c r="AL102" s="4" t="s">
        <v>191</v>
      </c>
    </row>
    <row r="103" spans="1:38">
      <c r="A103" s="4" t="s">
        <v>89</v>
      </c>
      <c r="B103" s="4" t="s">
        <v>88</v>
      </c>
      <c r="C103" s="4" t="s">
        <v>90</v>
      </c>
      <c r="F103" s="5">
        <v>42065.868045254632</v>
      </c>
      <c r="G103" s="4" t="s">
        <v>98</v>
      </c>
      <c r="N103" s="4" t="s">
        <v>166</v>
      </c>
      <c r="AL103" s="4" t="s">
        <v>190</v>
      </c>
    </row>
    <row r="104" spans="1:38">
      <c r="A104" s="4" t="s">
        <v>89</v>
      </c>
      <c r="B104" s="4" t="s">
        <v>88</v>
      </c>
      <c r="C104" s="4" t="s">
        <v>90</v>
      </c>
      <c r="F104" s="5">
        <v>42065.868056828702</v>
      </c>
      <c r="G104" s="4" t="s">
        <v>98</v>
      </c>
      <c r="N104" s="4" t="s">
        <v>166</v>
      </c>
      <c r="AL104" s="4" t="s">
        <v>192</v>
      </c>
    </row>
    <row r="105" spans="1:38">
      <c r="A105" s="4" t="s">
        <v>89</v>
      </c>
      <c r="B105" s="4" t="s">
        <v>88</v>
      </c>
      <c r="C105" s="4" t="s">
        <v>90</v>
      </c>
      <c r="F105" s="5">
        <v>42065.868056863423</v>
      </c>
      <c r="G105" s="4" t="s">
        <v>98</v>
      </c>
      <c r="N105" s="4" t="s">
        <v>166</v>
      </c>
      <c r="AL105" s="4" t="s">
        <v>193</v>
      </c>
    </row>
    <row r="106" spans="1:38">
      <c r="A106" s="4" t="s">
        <v>89</v>
      </c>
      <c r="B106" s="4" t="s">
        <v>88</v>
      </c>
      <c r="C106" s="4" t="s">
        <v>90</v>
      </c>
      <c r="F106" s="5">
        <v>42065.868068402779</v>
      </c>
      <c r="G106" s="4" t="s">
        <v>98</v>
      </c>
      <c r="N106" s="4" t="s">
        <v>166</v>
      </c>
      <c r="AL106" s="4" t="s">
        <v>193</v>
      </c>
    </row>
    <row r="107" spans="1:38">
      <c r="A107" s="4" t="s">
        <v>89</v>
      </c>
      <c r="B107" s="4" t="s">
        <v>88</v>
      </c>
      <c r="C107" s="4" t="s">
        <v>90</v>
      </c>
      <c r="F107" s="5">
        <v>42065.868068402779</v>
      </c>
      <c r="G107" s="4" t="s">
        <v>98</v>
      </c>
      <c r="N107" s="4" t="s">
        <v>166</v>
      </c>
      <c r="AL107" s="4" t="s">
        <v>192</v>
      </c>
    </row>
    <row r="108" spans="1:38">
      <c r="A108" s="4" t="s">
        <v>89</v>
      </c>
      <c r="B108" s="4" t="s">
        <v>88</v>
      </c>
      <c r="C108" s="4" t="s">
        <v>90</v>
      </c>
      <c r="F108" s="5">
        <v>42065.868079050924</v>
      </c>
      <c r="G108" s="4" t="s">
        <v>98</v>
      </c>
      <c r="N108" s="4" t="s">
        <v>194</v>
      </c>
      <c r="AL108" s="4" t="s">
        <v>181</v>
      </c>
    </row>
    <row r="109" spans="1:38">
      <c r="A109" s="4" t="s">
        <v>89</v>
      </c>
      <c r="B109" s="4" t="s">
        <v>88</v>
      </c>
      <c r="C109" s="4" t="s">
        <v>90</v>
      </c>
      <c r="F109" s="5">
        <v>42065.868079976855</v>
      </c>
      <c r="G109" s="4" t="s">
        <v>98</v>
      </c>
      <c r="N109" s="4" t="s">
        <v>166</v>
      </c>
      <c r="AL109" s="4" t="s">
        <v>192</v>
      </c>
    </row>
    <row r="110" spans="1:38">
      <c r="A110" s="4" t="s">
        <v>89</v>
      </c>
      <c r="B110" s="4" t="s">
        <v>88</v>
      </c>
      <c r="C110" s="4" t="s">
        <v>90</v>
      </c>
      <c r="F110" s="5">
        <v>42065.868080011576</v>
      </c>
      <c r="G110" s="4" t="s">
        <v>98</v>
      </c>
      <c r="N110" s="4" t="s">
        <v>166</v>
      </c>
      <c r="AL110" s="4" t="s">
        <v>193</v>
      </c>
    </row>
    <row r="111" spans="1:38">
      <c r="A111" s="4" t="s">
        <v>89</v>
      </c>
      <c r="B111" s="4" t="s">
        <v>88</v>
      </c>
      <c r="C111" s="4" t="s">
        <v>90</v>
      </c>
      <c r="F111" s="5">
        <v>42065.868091550925</v>
      </c>
      <c r="G111" s="4" t="s">
        <v>98</v>
      </c>
      <c r="N111" s="4" t="s">
        <v>166</v>
      </c>
      <c r="AL111" s="4" t="s">
        <v>192</v>
      </c>
    </row>
    <row r="112" spans="1:38">
      <c r="A112" s="4" t="s">
        <v>89</v>
      </c>
      <c r="B112" s="4" t="s">
        <v>88</v>
      </c>
      <c r="C112" s="4" t="s">
        <v>90</v>
      </c>
      <c r="F112" s="5">
        <v>42065.868091550925</v>
      </c>
      <c r="G112" s="4" t="s">
        <v>98</v>
      </c>
      <c r="N112" s="4" t="s">
        <v>166</v>
      </c>
      <c r="AL112" s="4" t="s">
        <v>193</v>
      </c>
    </row>
    <row r="113" spans="1:38">
      <c r="A113" s="4" t="s">
        <v>89</v>
      </c>
      <c r="B113" s="4" t="s">
        <v>88</v>
      </c>
      <c r="C113" s="4" t="s">
        <v>90</v>
      </c>
      <c r="F113" s="5">
        <v>42065.868171296293</v>
      </c>
      <c r="G113" s="4" t="s">
        <v>19</v>
      </c>
      <c r="H113" s="4">
        <v>2</v>
      </c>
      <c r="I113" s="4">
        <v>139.40158</v>
      </c>
      <c r="J113" s="4">
        <v>35.568950000000001</v>
      </c>
      <c r="K113" s="4" t="s">
        <v>158</v>
      </c>
      <c r="N113" s="4" t="s">
        <v>195</v>
      </c>
      <c r="O113" s="4" t="b">
        <v>1</v>
      </c>
      <c r="P113" s="4" t="b">
        <v>0</v>
      </c>
      <c r="Q113" s="4" t="b">
        <v>0</v>
      </c>
      <c r="R113" s="4" t="b">
        <v>0</v>
      </c>
      <c r="S113" s="4" t="b">
        <v>0</v>
      </c>
      <c r="T113" s="4" t="b">
        <v>0</v>
      </c>
      <c r="U113" s="4" t="b">
        <v>0</v>
      </c>
      <c r="V113" s="4" t="b">
        <v>0</v>
      </c>
      <c r="W113" s="4" t="b">
        <v>0</v>
      </c>
      <c r="X113" s="4" t="b">
        <v>1</v>
      </c>
      <c r="Y113" s="4" t="b">
        <v>1</v>
      </c>
    </row>
    <row r="114" spans="1:38">
      <c r="A114" s="4" t="s">
        <v>89</v>
      </c>
      <c r="B114" s="4" t="s">
        <v>88</v>
      </c>
      <c r="C114" s="4" t="s">
        <v>90</v>
      </c>
      <c r="F114" s="5">
        <v>42065.868176585645</v>
      </c>
      <c r="G114" s="4" t="s">
        <v>98</v>
      </c>
      <c r="N114" s="4" t="s">
        <v>196</v>
      </c>
      <c r="AL114" s="4" t="s">
        <v>197</v>
      </c>
    </row>
    <row r="115" spans="1:38">
      <c r="A115" s="4" t="s">
        <v>89</v>
      </c>
      <c r="B115" s="4" t="s">
        <v>88</v>
      </c>
      <c r="C115" s="4" t="s">
        <v>90</v>
      </c>
      <c r="F115" s="5">
        <v>42065.868177164353</v>
      </c>
      <c r="G115" s="4" t="s">
        <v>98</v>
      </c>
      <c r="N115" s="4" t="s">
        <v>198</v>
      </c>
      <c r="AL115" s="4" t="s">
        <v>199</v>
      </c>
    </row>
    <row r="116" spans="1:38">
      <c r="A116" s="4" t="s">
        <v>89</v>
      </c>
      <c r="B116" s="4" t="s">
        <v>88</v>
      </c>
      <c r="C116" s="4" t="s">
        <v>90</v>
      </c>
      <c r="F116" s="5">
        <v>42065.868177164353</v>
      </c>
      <c r="G116" s="4" t="s">
        <v>59</v>
      </c>
      <c r="AC116" s="4" t="s">
        <v>203</v>
      </c>
      <c r="AD116" s="4" t="s">
        <v>202</v>
      </c>
      <c r="AE116" s="4" t="s">
        <v>18</v>
      </c>
      <c r="AF116" s="4" t="s">
        <v>94</v>
      </c>
      <c r="AI116" s="4">
        <v>25</v>
      </c>
      <c r="AJ116" s="4" t="s">
        <v>201</v>
      </c>
      <c r="AK116" s="4" t="s">
        <v>200</v>
      </c>
    </row>
    <row r="117" spans="1:38">
      <c r="A117" s="4" t="s">
        <v>89</v>
      </c>
      <c r="B117" s="4" t="s">
        <v>88</v>
      </c>
      <c r="C117" s="4" t="s">
        <v>90</v>
      </c>
      <c r="F117" s="5">
        <v>42065.868206099534</v>
      </c>
      <c r="G117" s="4" t="s">
        <v>59</v>
      </c>
      <c r="AC117" s="4" t="s">
        <v>165</v>
      </c>
      <c r="AD117" s="4" t="s">
        <v>164</v>
      </c>
      <c r="AE117" s="4" t="s">
        <v>18</v>
      </c>
      <c r="AF117" s="4" t="s">
        <v>94</v>
      </c>
      <c r="AI117" s="4">
        <v>935.75</v>
      </c>
      <c r="AJ117" s="4" t="s">
        <v>163</v>
      </c>
      <c r="AK117" s="4" t="s">
        <v>162</v>
      </c>
    </row>
    <row r="118" spans="1:38">
      <c r="A118" s="4" t="s">
        <v>89</v>
      </c>
      <c r="B118" s="4" t="s">
        <v>88</v>
      </c>
      <c r="C118" s="4" t="s">
        <v>90</v>
      </c>
      <c r="F118" s="5">
        <v>42065.868333333332</v>
      </c>
      <c r="G118" s="4" t="s">
        <v>98</v>
      </c>
      <c r="N118" s="4" t="s">
        <v>204</v>
      </c>
      <c r="AL118" s="4" t="s">
        <v>205</v>
      </c>
    </row>
    <row r="119" spans="1:38">
      <c r="A119" s="4" t="s">
        <v>89</v>
      </c>
      <c r="B119" s="4" t="s">
        <v>88</v>
      </c>
      <c r="C119" s="4" t="s">
        <v>90</v>
      </c>
      <c r="F119" s="5">
        <v>42065.868344907409</v>
      </c>
      <c r="G119" s="4" t="s">
        <v>98</v>
      </c>
      <c r="N119" s="4" t="s">
        <v>206</v>
      </c>
      <c r="AL119" s="4" t="s">
        <v>207</v>
      </c>
    </row>
    <row r="120" spans="1:38">
      <c r="A120" s="4" t="s">
        <v>89</v>
      </c>
      <c r="B120" s="4" t="s">
        <v>88</v>
      </c>
      <c r="C120" s="4" t="s">
        <v>90</v>
      </c>
      <c r="F120" s="5">
        <v>42065.868356481478</v>
      </c>
      <c r="G120" s="4" t="s">
        <v>98</v>
      </c>
      <c r="N120" s="4" t="s">
        <v>206</v>
      </c>
      <c r="AL120" s="4" t="s">
        <v>208</v>
      </c>
    </row>
    <row r="121" spans="1:38">
      <c r="A121" s="4" t="s">
        <v>89</v>
      </c>
      <c r="B121" s="4" t="s">
        <v>88</v>
      </c>
      <c r="C121" s="4" t="s">
        <v>90</v>
      </c>
      <c r="F121" s="5">
        <v>42065.868356481478</v>
      </c>
      <c r="G121" s="4" t="s">
        <v>19</v>
      </c>
      <c r="H121" s="4">
        <v>11</v>
      </c>
      <c r="I121" s="4">
        <v>139.40163000000001</v>
      </c>
      <c r="J121" s="4">
        <v>35.569049999999997</v>
      </c>
      <c r="K121" s="4" t="s">
        <v>209</v>
      </c>
      <c r="N121" s="4" t="s">
        <v>210</v>
      </c>
      <c r="O121" s="4" t="b">
        <v>1</v>
      </c>
      <c r="P121" s="4" t="b">
        <v>0</v>
      </c>
      <c r="Q121" s="4" t="b">
        <v>0</v>
      </c>
      <c r="R121" s="4" t="b">
        <v>0</v>
      </c>
      <c r="S121" s="4" t="b">
        <v>0</v>
      </c>
      <c r="T121" s="4" t="b">
        <v>0</v>
      </c>
      <c r="U121" s="4" t="b">
        <v>0</v>
      </c>
      <c r="V121" s="4" t="b">
        <v>0</v>
      </c>
      <c r="W121" s="4" t="b">
        <v>0</v>
      </c>
      <c r="X121" s="4" t="b">
        <v>1</v>
      </c>
      <c r="Y121" s="4" t="b">
        <v>1</v>
      </c>
    </row>
    <row r="122" spans="1:38">
      <c r="A122" s="4" t="s">
        <v>89</v>
      </c>
      <c r="B122" s="4" t="s">
        <v>88</v>
      </c>
      <c r="C122" s="4" t="s">
        <v>90</v>
      </c>
      <c r="F122" s="5">
        <v>42065.868391550925</v>
      </c>
      <c r="G122" s="4" t="s">
        <v>59</v>
      </c>
      <c r="AC122" s="4" t="s">
        <v>165</v>
      </c>
      <c r="AD122" s="4" t="s">
        <v>164</v>
      </c>
      <c r="AE122" s="4" t="s">
        <v>18</v>
      </c>
      <c r="AF122" s="4" t="s">
        <v>94</v>
      </c>
      <c r="AI122" s="4">
        <v>1427</v>
      </c>
      <c r="AJ122" s="4" t="s">
        <v>163</v>
      </c>
      <c r="AK122" s="4" t="s">
        <v>162</v>
      </c>
    </row>
    <row r="123" spans="1:38">
      <c r="A123" s="4" t="s">
        <v>89</v>
      </c>
      <c r="B123" s="4" t="s">
        <v>88</v>
      </c>
      <c r="C123" s="4" t="s">
        <v>90</v>
      </c>
      <c r="F123" s="5">
        <v>42065.868402777778</v>
      </c>
      <c r="G123" s="4" t="s">
        <v>19</v>
      </c>
      <c r="H123" s="4">
        <v>16</v>
      </c>
      <c r="I123" s="4">
        <v>139.40152</v>
      </c>
      <c r="J123" s="4">
        <v>35.56915</v>
      </c>
      <c r="K123" s="4" t="s">
        <v>158</v>
      </c>
      <c r="N123" s="4" t="s">
        <v>211</v>
      </c>
      <c r="O123" s="4" t="b">
        <v>1</v>
      </c>
      <c r="P123" s="4" t="b">
        <v>0</v>
      </c>
      <c r="Q123" s="4" t="b">
        <v>0</v>
      </c>
      <c r="R123" s="4" t="b">
        <v>0</v>
      </c>
      <c r="S123" s="4" t="b">
        <v>0</v>
      </c>
      <c r="T123" s="4" t="b">
        <v>0</v>
      </c>
      <c r="U123" s="4" t="b">
        <v>0</v>
      </c>
      <c r="V123" s="4" t="b">
        <v>0</v>
      </c>
      <c r="W123" s="4" t="b">
        <v>0</v>
      </c>
      <c r="X123" s="4" t="b">
        <v>1</v>
      </c>
      <c r="Y123" s="4" t="b">
        <v>1</v>
      </c>
    </row>
    <row r="124" spans="1:38">
      <c r="A124" s="4" t="s">
        <v>89</v>
      </c>
      <c r="B124" s="4" t="s">
        <v>88</v>
      </c>
      <c r="C124" s="4" t="s">
        <v>90</v>
      </c>
      <c r="F124" s="5">
        <v>42065.86840806713</v>
      </c>
      <c r="G124" s="4" t="s">
        <v>59</v>
      </c>
      <c r="AC124" s="4" t="s">
        <v>203</v>
      </c>
      <c r="AD124" s="4" t="s">
        <v>202</v>
      </c>
      <c r="AE124" s="4" t="s">
        <v>18</v>
      </c>
      <c r="AF124" s="4" t="s">
        <v>94</v>
      </c>
      <c r="AI124" s="4">
        <v>29</v>
      </c>
      <c r="AJ124" s="4" t="s">
        <v>201</v>
      </c>
      <c r="AK124" s="4" t="s">
        <v>200</v>
      </c>
    </row>
    <row r="125" spans="1:38">
      <c r="A125" s="4" t="s">
        <v>89</v>
      </c>
      <c r="B125" s="4" t="s">
        <v>88</v>
      </c>
      <c r="C125" s="4" t="s">
        <v>90</v>
      </c>
      <c r="F125" s="5">
        <v>42065.868483796294</v>
      </c>
      <c r="G125" s="4" t="s">
        <v>98</v>
      </c>
      <c r="N125" s="4" t="s">
        <v>206</v>
      </c>
      <c r="AL125" s="4" t="s">
        <v>212</v>
      </c>
    </row>
    <row r="126" spans="1:38">
      <c r="A126" s="4" t="s">
        <v>89</v>
      </c>
      <c r="B126" s="4" t="s">
        <v>88</v>
      </c>
      <c r="C126" s="4" t="s">
        <v>90</v>
      </c>
      <c r="F126" s="5">
        <v>42065.868483877312</v>
      </c>
      <c r="G126" s="4" t="s">
        <v>59</v>
      </c>
      <c r="AC126" s="4" t="s">
        <v>165</v>
      </c>
      <c r="AD126" s="4" t="s">
        <v>164</v>
      </c>
      <c r="AE126" s="4" t="s">
        <v>18</v>
      </c>
      <c r="AF126" s="4" t="s">
        <v>94</v>
      </c>
      <c r="AI126" s="4">
        <v>885.75</v>
      </c>
      <c r="AJ126" s="4" t="s">
        <v>163</v>
      </c>
      <c r="AK126" s="4" t="s">
        <v>162</v>
      </c>
    </row>
    <row r="127" spans="1:38">
      <c r="A127" s="4" t="s">
        <v>89</v>
      </c>
      <c r="B127" s="4" t="s">
        <v>88</v>
      </c>
      <c r="C127" s="4" t="s">
        <v>90</v>
      </c>
      <c r="F127" s="5">
        <v>42065.868495370371</v>
      </c>
      <c r="G127" s="4" t="s">
        <v>19</v>
      </c>
      <c r="H127" s="4">
        <v>5</v>
      </c>
      <c r="I127" s="4">
        <v>139.40134</v>
      </c>
      <c r="J127" s="4">
        <v>35.569279999999999</v>
      </c>
      <c r="K127" s="4" t="s">
        <v>213</v>
      </c>
      <c r="N127" s="4" t="s">
        <v>211</v>
      </c>
      <c r="O127" s="4" t="b">
        <v>1</v>
      </c>
      <c r="P127" s="4" t="b">
        <v>0</v>
      </c>
      <c r="Q127" s="4" t="b">
        <v>0</v>
      </c>
      <c r="R127" s="4" t="b">
        <v>0</v>
      </c>
      <c r="S127" s="4" t="b">
        <v>0</v>
      </c>
      <c r="T127" s="4" t="b">
        <v>0</v>
      </c>
      <c r="U127" s="4" t="b">
        <v>0</v>
      </c>
      <c r="V127" s="4" t="b">
        <v>0</v>
      </c>
      <c r="W127" s="4" t="b">
        <v>0</v>
      </c>
      <c r="X127" s="4" t="b">
        <v>1</v>
      </c>
      <c r="Y127" s="4" t="b">
        <v>1</v>
      </c>
    </row>
    <row r="128" spans="1:38">
      <c r="A128" s="4" t="s">
        <v>89</v>
      </c>
      <c r="B128" s="4" t="s">
        <v>88</v>
      </c>
      <c r="C128" s="4" t="s">
        <v>90</v>
      </c>
      <c r="F128" s="5">
        <v>42065.868507175925</v>
      </c>
      <c r="G128" s="4" t="s">
        <v>59</v>
      </c>
      <c r="AC128" s="4" t="s">
        <v>165</v>
      </c>
      <c r="AD128" s="4" t="s">
        <v>164</v>
      </c>
      <c r="AE128" s="4" t="s">
        <v>18</v>
      </c>
      <c r="AF128" s="4" t="s">
        <v>94</v>
      </c>
      <c r="AI128" s="4">
        <v>1981.5</v>
      </c>
      <c r="AJ128" s="4" t="s">
        <v>163</v>
      </c>
      <c r="AK128" s="4" t="s">
        <v>162</v>
      </c>
    </row>
    <row r="129" spans="1:38">
      <c r="A129" s="4" t="s">
        <v>89</v>
      </c>
      <c r="B129" s="4" t="s">
        <v>88</v>
      </c>
      <c r="C129" s="4" t="s">
        <v>90</v>
      </c>
      <c r="F129" s="5">
        <v>42065.868541747688</v>
      </c>
      <c r="G129" s="4" t="s">
        <v>59</v>
      </c>
      <c r="AC129" s="4" t="s">
        <v>165</v>
      </c>
      <c r="AD129" s="4" t="s">
        <v>164</v>
      </c>
      <c r="AE129" s="4" t="s">
        <v>18</v>
      </c>
      <c r="AF129" s="4" t="s">
        <v>94</v>
      </c>
      <c r="AI129" s="4">
        <v>1124.75</v>
      </c>
      <c r="AJ129" s="4" t="s">
        <v>163</v>
      </c>
      <c r="AK129" s="4" t="s">
        <v>162</v>
      </c>
    </row>
    <row r="130" spans="1:38">
      <c r="A130" s="4" t="s">
        <v>89</v>
      </c>
      <c r="B130" s="4" t="s">
        <v>88</v>
      </c>
      <c r="C130" s="4" t="s">
        <v>90</v>
      </c>
      <c r="F130" s="5">
        <v>42065.868576388886</v>
      </c>
      <c r="G130" s="4" t="s">
        <v>19</v>
      </c>
      <c r="H130" s="4">
        <v>16</v>
      </c>
      <c r="I130" s="4">
        <v>139.40117000000001</v>
      </c>
      <c r="J130" s="4">
        <v>35.569479999999999</v>
      </c>
      <c r="K130" s="4" t="s">
        <v>213</v>
      </c>
      <c r="N130" s="4" t="s">
        <v>211</v>
      </c>
      <c r="O130" s="4" t="b">
        <v>1</v>
      </c>
      <c r="P130" s="4" t="b">
        <v>0</v>
      </c>
      <c r="Q130" s="4" t="b">
        <v>0</v>
      </c>
      <c r="R130" s="4" t="b">
        <v>0</v>
      </c>
      <c r="S130" s="4" t="b">
        <v>0</v>
      </c>
      <c r="T130" s="4" t="b">
        <v>0</v>
      </c>
      <c r="U130" s="4" t="b">
        <v>0</v>
      </c>
      <c r="V130" s="4" t="b">
        <v>0</v>
      </c>
      <c r="W130" s="4" t="b">
        <v>0</v>
      </c>
      <c r="X130" s="4" t="b">
        <v>1</v>
      </c>
      <c r="Y130" s="4" t="b">
        <v>1</v>
      </c>
    </row>
    <row r="131" spans="1:38">
      <c r="A131" s="4" t="s">
        <v>89</v>
      </c>
      <c r="B131" s="4" t="s">
        <v>88</v>
      </c>
      <c r="C131" s="4" t="s">
        <v>90</v>
      </c>
      <c r="F131" s="5">
        <v>42065.868657407409</v>
      </c>
      <c r="G131" s="4" t="s">
        <v>19</v>
      </c>
      <c r="H131" s="4">
        <v>0</v>
      </c>
      <c r="I131" s="4">
        <v>139.40102999999999</v>
      </c>
      <c r="J131" s="4">
        <v>35.569609999999997</v>
      </c>
      <c r="K131" s="4" t="s">
        <v>214</v>
      </c>
      <c r="N131" s="4" t="s">
        <v>195</v>
      </c>
      <c r="O131" s="4" t="b">
        <v>1</v>
      </c>
      <c r="P131" s="4" t="b">
        <v>0</v>
      </c>
      <c r="Q131" s="4" t="b">
        <v>0</v>
      </c>
      <c r="R131" s="4" t="b">
        <v>0</v>
      </c>
      <c r="S131" s="4" t="b">
        <v>0</v>
      </c>
      <c r="T131" s="4" t="b">
        <v>0</v>
      </c>
      <c r="U131" s="4" t="b">
        <v>0</v>
      </c>
      <c r="V131" s="4" t="b">
        <v>0</v>
      </c>
      <c r="W131" s="4" t="b">
        <v>0</v>
      </c>
      <c r="X131" s="4" t="b">
        <v>1</v>
      </c>
      <c r="Y131" s="4" t="b">
        <v>1</v>
      </c>
    </row>
    <row r="132" spans="1:38">
      <c r="A132" s="4" t="s">
        <v>89</v>
      </c>
      <c r="B132" s="4" t="s">
        <v>88</v>
      </c>
      <c r="C132" s="4" t="s">
        <v>90</v>
      </c>
      <c r="F132" s="5">
        <v>42065.868668981479</v>
      </c>
      <c r="G132" s="4" t="s">
        <v>19</v>
      </c>
      <c r="H132" s="4">
        <v>2</v>
      </c>
      <c r="I132" s="4">
        <v>139.40102999999999</v>
      </c>
      <c r="J132" s="4">
        <v>35.569609999999997</v>
      </c>
      <c r="K132" s="4" t="s">
        <v>214</v>
      </c>
      <c r="N132" s="4" t="s">
        <v>195</v>
      </c>
      <c r="O132" s="4" t="b">
        <v>1</v>
      </c>
      <c r="P132" s="4" t="b">
        <v>0</v>
      </c>
      <c r="Q132" s="4" t="b">
        <v>0</v>
      </c>
      <c r="R132" s="4" t="b">
        <v>0</v>
      </c>
      <c r="S132" s="4" t="b">
        <v>0</v>
      </c>
      <c r="T132" s="4" t="b">
        <v>0</v>
      </c>
      <c r="U132" s="4" t="b">
        <v>0</v>
      </c>
      <c r="V132" s="4" t="b">
        <v>0</v>
      </c>
      <c r="W132" s="4" t="b">
        <v>0</v>
      </c>
      <c r="X132" s="4" t="b">
        <v>1</v>
      </c>
      <c r="Y132" s="4" t="b">
        <v>1</v>
      </c>
    </row>
    <row r="133" spans="1:38">
      <c r="A133" s="4" t="s">
        <v>89</v>
      </c>
      <c r="B133" s="4" t="s">
        <v>88</v>
      </c>
      <c r="C133" s="4" t="s">
        <v>90</v>
      </c>
      <c r="F133" s="5">
        <v>42065.868703784719</v>
      </c>
      <c r="G133" s="4" t="s">
        <v>59</v>
      </c>
      <c r="AC133" s="4" t="s">
        <v>165</v>
      </c>
      <c r="AD133" s="4" t="s">
        <v>164</v>
      </c>
      <c r="AE133" s="4" t="s">
        <v>18</v>
      </c>
      <c r="AF133" s="4" t="s">
        <v>94</v>
      </c>
      <c r="AI133" s="4">
        <v>854.75</v>
      </c>
      <c r="AJ133" s="4" t="s">
        <v>163</v>
      </c>
      <c r="AK133" s="4" t="s">
        <v>162</v>
      </c>
    </row>
    <row r="134" spans="1:38">
      <c r="A134" s="4" t="s">
        <v>89</v>
      </c>
      <c r="B134" s="4" t="s">
        <v>88</v>
      </c>
      <c r="C134" s="4" t="s">
        <v>90</v>
      </c>
      <c r="F134" s="5">
        <v>42065.868750000001</v>
      </c>
      <c r="G134" s="4" t="s">
        <v>19</v>
      </c>
      <c r="H134" s="4">
        <v>13</v>
      </c>
      <c r="I134" s="4">
        <v>139.40101999999999</v>
      </c>
      <c r="J134" s="4">
        <v>35.569690000000001</v>
      </c>
      <c r="K134" s="4" t="s">
        <v>215</v>
      </c>
      <c r="N134" s="4" t="s">
        <v>210</v>
      </c>
      <c r="O134" s="4" t="b">
        <v>1</v>
      </c>
      <c r="P134" s="4" t="b">
        <v>0</v>
      </c>
      <c r="Q134" s="4" t="b">
        <v>0</v>
      </c>
      <c r="R134" s="4" t="b">
        <v>0</v>
      </c>
      <c r="S134" s="4" t="b">
        <v>0</v>
      </c>
      <c r="T134" s="4" t="b">
        <v>0</v>
      </c>
      <c r="U134" s="4" t="b">
        <v>0</v>
      </c>
      <c r="V134" s="4" t="b">
        <v>0</v>
      </c>
      <c r="W134" s="4" t="b">
        <v>0</v>
      </c>
      <c r="X134" s="4" t="b">
        <v>1</v>
      </c>
      <c r="Y134" s="4" t="b">
        <v>1</v>
      </c>
    </row>
    <row r="135" spans="1:38">
      <c r="A135" s="4" t="s">
        <v>89</v>
      </c>
      <c r="B135" s="4" t="s">
        <v>88</v>
      </c>
      <c r="C135" s="4" t="s">
        <v>90</v>
      </c>
      <c r="F135" s="5">
        <v>42065.868773298615</v>
      </c>
      <c r="G135" s="4" t="s">
        <v>59</v>
      </c>
      <c r="AC135" s="4" t="s">
        <v>165</v>
      </c>
      <c r="AD135" s="4" t="s">
        <v>164</v>
      </c>
      <c r="AE135" s="4" t="s">
        <v>18</v>
      </c>
      <c r="AF135" s="4" t="s">
        <v>94</v>
      </c>
      <c r="AI135" s="4">
        <v>2025.5</v>
      </c>
      <c r="AJ135" s="4" t="s">
        <v>163</v>
      </c>
      <c r="AK135" s="4" t="s">
        <v>162</v>
      </c>
    </row>
    <row r="136" spans="1:38">
      <c r="A136" s="4" t="s">
        <v>89</v>
      </c>
      <c r="B136" s="4" t="s">
        <v>88</v>
      </c>
      <c r="C136" s="4" t="s">
        <v>90</v>
      </c>
      <c r="F136" s="5">
        <v>42065.86886574074</v>
      </c>
      <c r="G136" s="4" t="s">
        <v>19</v>
      </c>
      <c r="H136" s="4">
        <v>41</v>
      </c>
      <c r="I136" s="4">
        <v>139.40167</v>
      </c>
      <c r="J136" s="4">
        <v>35.5702</v>
      </c>
      <c r="K136" s="4" t="s">
        <v>215</v>
      </c>
      <c r="N136" s="4" t="s">
        <v>211</v>
      </c>
      <c r="O136" s="4" t="b">
        <v>1</v>
      </c>
      <c r="P136" s="4" t="b">
        <v>0</v>
      </c>
      <c r="Q136" s="4" t="b">
        <v>0</v>
      </c>
      <c r="R136" s="4" t="b">
        <v>0</v>
      </c>
      <c r="S136" s="4" t="b">
        <v>0</v>
      </c>
      <c r="T136" s="4" t="b">
        <v>0</v>
      </c>
      <c r="U136" s="4" t="b">
        <v>0</v>
      </c>
      <c r="V136" s="4" t="b">
        <v>0</v>
      </c>
      <c r="W136" s="4" t="b">
        <v>0</v>
      </c>
      <c r="X136" s="4" t="b">
        <v>1</v>
      </c>
      <c r="Y136" s="4" t="b">
        <v>1</v>
      </c>
    </row>
    <row r="137" spans="1:38">
      <c r="A137" s="4" t="s">
        <v>89</v>
      </c>
      <c r="B137" s="4" t="s">
        <v>88</v>
      </c>
      <c r="C137" s="4" t="s">
        <v>90</v>
      </c>
      <c r="F137" s="5">
        <v>42065.868865891207</v>
      </c>
      <c r="G137" s="4" t="s">
        <v>59</v>
      </c>
      <c r="AC137" s="4" t="s">
        <v>165</v>
      </c>
      <c r="AD137" s="4" t="s">
        <v>164</v>
      </c>
      <c r="AE137" s="4" t="s">
        <v>18</v>
      </c>
      <c r="AF137" s="4" t="s">
        <v>94</v>
      </c>
      <c r="AI137" s="4">
        <v>1231.5</v>
      </c>
      <c r="AJ137" s="4" t="s">
        <v>163</v>
      </c>
      <c r="AK137" s="4" t="s">
        <v>162</v>
      </c>
    </row>
    <row r="138" spans="1:38">
      <c r="A138" s="4" t="s">
        <v>89</v>
      </c>
      <c r="B138" s="4" t="s">
        <v>88</v>
      </c>
      <c r="C138" s="4" t="s">
        <v>90</v>
      </c>
      <c r="F138" s="5">
        <v>42065.868870335646</v>
      </c>
      <c r="G138" s="4" t="s">
        <v>59</v>
      </c>
      <c r="AC138" s="4" t="s">
        <v>217</v>
      </c>
      <c r="AD138" s="4" t="s">
        <v>216</v>
      </c>
      <c r="AE138" s="4" t="s">
        <v>18</v>
      </c>
      <c r="AF138" s="4" t="s">
        <v>94</v>
      </c>
      <c r="AI138" s="4">
        <v>14.253333100000001</v>
      </c>
      <c r="AJ138" s="4" t="s">
        <v>142</v>
      </c>
      <c r="AK138" s="4" t="s">
        <v>141</v>
      </c>
    </row>
    <row r="139" spans="1:38">
      <c r="A139" s="4" t="s">
        <v>89</v>
      </c>
      <c r="B139" s="4" t="s">
        <v>88</v>
      </c>
      <c r="C139" s="4" t="s">
        <v>90</v>
      </c>
      <c r="F139" s="5">
        <v>42065.868970057869</v>
      </c>
      <c r="G139" s="4" t="s">
        <v>98</v>
      </c>
      <c r="N139" s="4" t="s">
        <v>218</v>
      </c>
      <c r="AL139" s="4" t="s">
        <v>219</v>
      </c>
    </row>
    <row r="140" spans="1:38">
      <c r="A140" s="4" t="s">
        <v>89</v>
      </c>
      <c r="B140" s="4" t="s">
        <v>88</v>
      </c>
      <c r="C140" s="4" t="s">
        <v>90</v>
      </c>
      <c r="F140" s="5">
        <v>42065.868970057869</v>
      </c>
      <c r="G140" s="4" t="s">
        <v>98</v>
      </c>
      <c r="N140" s="4" t="s">
        <v>220</v>
      </c>
      <c r="AL140" s="4" t="s">
        <v>219</v>
      </c>
    </row>
    <row r="141" spans="1:38">
      <c r="A141" s="4" t="s">
        <v>89</v>
      </c>
      <c r="B141" s="4" t="s">
        <v>88</v>
      </c>
      <c r="C141" s="4" t="s">
        <v>90</v>
      </c>
      <c r="F141" s="5">
        <v>42065.868986076392</v>
      </c>
      <c r="G141" s="4" t="s">
        <v>59</v>
      </c>
      <c r="AC141" s="4" t="s">
        <v>217</v>
      </c>
      <c r="AD141" s="4" t="s">
        <v>216</v>
      </c>
      <c r="AE141" s="4" t="s">
        <v>18</v>
      </c>
      <c r="AF141" s="4" t="s">
        <v>94</v>
      </c>
      <c r="AI141" s="4">
        <v>13.7882233</v>
      </c>
      <c r="AJ141" s="4" t="s">
        <v>142</v>
      </c>
      <c r="AK141" s="4" t="s">
        <v>141</v>
      </c>
    </row>
    <row r="142" spans="1:38">
      <c r="A142" s="4" t="s">
        <v>89</v>
      </c>
      <c r="B142" s="4" t="s">
        <v>88</v>
      </c>
      <c r="C142" s="4" t="s">
        <v>90</v>
      </c>
      <c r="F142" s="5">
        <v>42065.869009571761</v>
      </c>
      <c r="G142" s="4" t="s">
        <v>98</v>
      </c>
      <c r="N142" s="4" t="s">
        <v>221</v>
      </c>
      <c r="AL142" s="4" t="s">
        <v>222</v>
      </c>
    </row>
    <row r="143" spans="1:38">
      <c r="A143" s="4" t="s">
        <v>89</v>
      </c>
      <c r="B143" s="4" t="s">
        <v>88</v>
      </c>
      <c r="C143" s="4" t="s">
        <v>90</v>
      </c>
      <c r="F143" s="5">
        <v>42065.869039502315</v>
      </c>
      <c r="G143" s="4" t="s">
        <v>59</v>
      </c>
      <c r="AC143" s="4" t="s">
        <v>165</v>
      </c>
      <c r="AD143" s="4" t="s">
        <v>164</v>
      </c>
      <c r="AE143" s="4" t="s">
        <v>18</v>
      </c>
      <c r="AF143" s="4" t="s">
        <v>94</v>
      </c>
      <c r="AI143" s="4">
        <v>1767.5</v>
      </c>
      <c r="AJ143" s="4" t="s">
        <v>163</v>
      </c>
      <c r="AK143" s="4" t="s">
        <v>162</v>
      </c>
    </row>
    <row r="144" spans="1:38">
      <c r="A144" s="4" t="s">
        <v>89</v>
      </c>
      <c r="B144" s="4" t="s">
        <v>88</v>
      </c>
      <c r="C144" s="4" t="s">
        <v>90</v>
      </c>
      <c r="F144" s="5">
        <v>42065.869131944448</v>
      </c>
      <c r="G144" s="4" t="s">
        <v>19</v>
      </c>
      <c r="H144" s="4">
        <v>44</v>
      </c>
      <c r="I144" s="4">
        <v>139.40378000000001</v>
      </c>
      <c r="J144" s="4">
        <v>35.571919999999999</v>
      </c>
      <c r="K144" s="4" t="s">
        <v>223</v>
      </c>
      <c r="N144" s="4" t="s">
        <v>224</v>
      </c>
      <c r="O144" s="4" t="b">
        <v>1</v>
      </c>
      <c r="P144" s="4" t="b">
        <v>0</v>
      </c>
      <c r="Q144" s="4" t="b">
        <v>0</v>
      </c>
      <c r="R144" s="4" t="b">
        <v>0</v>
      </c>
      <c r="S144" s="4" t="b">
        <v>0</v>
      </c>
      <c r="T144" s="4" t="b">
        <v>0</v>
      </c>
      <c r="U144" s="4" t="b">
        <v>0</v>
      </c>
      <c r="V144" s="4" t="b">
        <v>0</v>
      </c>
      <c r="W144" s="4" t="b">
        <v>0</v>
      </c>
      <c r="X144" s="4" t="b">
        <v>1</v>
      </c>
      <c r="Y144" s="4" t="b">
        <v>1</v>
      </c>
    </row>
    <row r="145" spans="1:37">
      <c r="A145" s="4" t="s">
        <v>89</v>
      </c>
      <c r="B145" s="4" t="s">
        <v>88</v>
      </c>
      <c r="C145" s="4" t="s">
        <v>90</v>
      </c>
      <c r="F145" s="5">
        <v>42065.869259722225</v>
      </c>
      <c r="G145" s="4" t="s">
        <v>59</v>
      </c>
      <c r="AC145" s="4" t="s">
        <v>165</v>
      </c>
      <c r="AD145" s="4" t="s">
        <v>164</v>
      </c>
      <c r="AE145" s="4" t="s">
        <v>18</v>
      </c>
      <c r="AF145" s="4" t="s">
        <v>94</v>
      </c>
      <c r="AI145" s="4">
        <v>1010.25</v>
      </c>
      <c r="AJ145" s="4" t="s">
        <v>163</v>
      </c>
      <c r="AK145" s="4" t="s">
        <v>162</v>
      </c>
    </row>
    <row r="146" spans="1:37">
      <c r="A146" s="4" t="s">
        <v>89</v>
      </c>
      <c r="B146" s="4" t="s">
        <v>88</v>
      </c>
      <c r="C146" s="4" t="s">
        <v>90</v>
      </c>
      <c r="F146" s="5">
        <v>42065.869328703702</v>
      </c>
      <c r="G146" s="4" t="s">
        <v>19</v>
      </c>
      <c r="H146" s="4">
        <v>50</v>
      </c>
      <c r="I146" s="4">
        <v>139.40544</v>
      </c>
      <c r="J146" s="4">
        <v>35.573329999999999</v>
      </c>
      <c r="K146" s="4" t="s">
        <v>225</v>
      </c>
      <c r="N146" s="4" t="s">
        <v>211</v>
      </c>
      <c r="O146" s="4" t="b">
        <v>1</v>
      </c>
      <c r="P146" s="4" t="b">
        <v>0</v>
      </c>
      <c r="Q146" s="4" t="b">
        <v>0</v>
      </c>
      <c r="R146" s="4" t="b">
        <v>0</v>
      </c>
      <c r="S146" s="4" t="b">
        <v>0</v>
      </c>
      <c r="T146" s="4" t="b">
        <v>0</v>
      </c>
      <c r="U146" s="4" t="b">
        <v>0</v>
      </c>
      <c r="V146" s="4" t="b">
        <v>0</v>
      </c>
      <c r="W146" s="4" t="b">
        <v>0</v>
      </c>
      <c r="X146" s="4" t="b">
        <v>1</v>
      </c>
      <c r="Y146" s="4" t="b">
        <v>1</v>
      </c>
    </row>
    <row r="147" spans="1:37">
      <c r="A147" s="4" t="s">
        <v>89</v>
      </c>
      <c r="B147" s="4" t="s">
        <v>88</v>
      </c>
      <c r="C147" s="4" t="s">
        <v>90</v>
      </c>
      <c r="F147" s="5">
        <v>42065.869375000002</v>
      </c>
      <c r="G147" s="4" t="s">
        <v>19</v>
      </c>
      <c r="H147" s="4">
        <v>41</v>
      </c>
      <c r="I147" s="4">
        <v>139.40582000000001</v>
      </c>
      <c r="J147" s="4">
        <v>35.573630000000001</v>
      </c>
      <c r="K147" s="4" t="s">
        <v>223</v>
      </c>
      <c r="N147" s="4" t="s">
        <v>211</v>
      </c>
      <c r="O147" s="4" t="b">
        <v>1</v>
      </c>
      <c r="P147" s="4" t="b">
        <v>0</v>
      </c>
      <c r="Q147" s="4" t="b">
        <v>0</v>
      </c>
      <c r="R147" s="4" t="b">
        <v>0</v>
      </c>
      <c r="S147" s="4" t="b">
        <v>0</v>
      </c>
      <c r="T147" s="4" t="b">
        <v>0</v>
      </c>
      <c r="U147" s="4" t="b">
        <v>0</v>
      </c>
      <c r="V147" s="4" t="b">
        <v>0</v>
      </c>
      <c r="W147" s="4" t="b">
        <v>0</v>
      </c>
      <c r="X147" s="4" t="b">
        <v>1</v>
      </c>
      <c r="Y147" s="4" t="b">
        <v>1</v>
      </c>
    </row>
    <row r="148" spans="1:37">
      <c r="A148" s="4" t="s">
        <v>89</v>
      </c>
      <c r="B148" s="4" t="s">
        <v>88</v>
      </c>
      <c r="C148" s="4" t="s">
        <v>90</v>
      </c>
      <c r="F148" s="5">
        <v>42065.869560185187</v>
      </c>
      <c r="G148" s="4" t="s">
        <v>19</v>
      </c>
      <c r="H148" s="4">
        <v>42</v>
      </c>
      <c r="I148" s="4">
        <v>139.40718000000001</v>
      </c>
      <c r="J148" s="4">
        <v>35.574910000000003</v>
      </c>
      <c r="K148" s="4" t="s">
        <v>223</v>
      </c>
      <c r="N148" s="4" t="s">
        <v>211</v>
      </c>
      <c r="O148" s="4" t="b">
        <v>1</v>
      </c>
      <c r="P148" s="4" t="b">
        <v>0</v>
      </c>
      <c r="Q148" s="4" t="b">
        <v>0</v>
      </c>
      <c r="R148" s="4" t="b">
        <v>0</v>
      </c>
      <c r="S148" s="4" t="b">
        <v>0</v>
      </c>
      <c r="T148" s="4" t="b">
        <v>0</v>
      </c>
      <c r="U148" s="4" t="b">
        <v>0</v>
      </c>
      <c r="V148" s="4" t="b">
        <v>0</v>
      </c>
      <c r="W148" s="4" t="b">
        <v>0</v>
      </c>
      <c r="X148" s="4" t="b">
        <v>1</v>
      </c>
      <c r="Y148" s="4" t="b">
        <v>1</v>
      </c>
    </row>
    <row r="149" spans="1:37">
      <c r="A149" s="4" t="s">
        <v>89</v>
      </c>
      <c r="B149" s="4" t="s">
        <v>88</v>
      </c>
      <c r="C149" s="4" t="s">
        <v>90</v>
      </c>
      <c r="F149" s="5">
        <v>42065.86968171296</v>
      </c>
      <c r="G149" s="4" t="s">
        <v>59</v>
      </c>
      <c r="AC149" s="4" t="s">
        <v>217</v>
      </c>
      <c r="AD149" s="4" t="s">
        <v>216</v>
      </c>
      <c r="AE149" s="4" t="s">
        <v>18</v>
      </c>
      <c r="AF149" s="4" t="s">
        <v>94</v>
      </c>
      <c r="AI149" s="4">
        <v>14.146000000000001</v>
      </c>
      <c r="AJ149" s="4" t="s">
        <v>142</v>
      </c>
      <c r="AK149" s="4" t="s">
        <v>141</v>
      </c>
    </row>
    <row r="150" spans="1:37">
      <c r="A150" s="4" t="s">
        <v>89</v>
      </c>
      <c r="B150" s="4" t="s">
        <v>88</v>
      </c>
      <c r="C150" s="4" t="s">
        <v>90</v>
      </c>
      <c r="F150" s="5">
        <v>42065.869756944441</v>
      </c>
      <c r="G150" s="4" t="s">
        <v>19</v>
      </c>
      <c r="H150" s="4">
        <v>29</v>
      </c>
      <c r="I150" s="4">
        <v>139.40839</v>
      </c>
      <c r="J150" s="4">
        <v>35.575989999999997</v>
      </c>
      <c r="K150" s="4" t="s">
        <v>226</v>
      </c>
      <c r="N150" s="4" t="s">
        <v>211</v>
      </c>
      <c r="O150" s="4" t="b">
        <v>1</v>
      </c>
      <c r="P150" s="4" t="b">
        <v>0</v>
      </c>
      <c r="Q150" s="4" t="b">
        <v>0</v>
      </c>
      <c r="R150" s="4" t="b">
        <v>0</v>
      </c>
      <c r="S150" s="4" t="b">
        <v>0</v>
      </c>
      <c r="T150" s="4" t="b">
        <v>0</v>
      </c>
      <c r="U150" s="4" t="b">
        <v>0</v>
      </c>
      <c r="V150" s="4" t="b">
        <v>0</v>
      </c>
      <c r="W150" s="4" t="b">
        <v>0</v>
      </c>
      <c r="X150" s="4" t="b">
        <v>1</v>
      </c>
      <c r="Y150" s="4" t="b">
        <v>1</v>
      </c>
    </row>
    <row r="151" spans="1:37">
      <c r="A151" s="4" t="s">
        <v>89</v>
      </c>
      <c r="B151" s="4" t="s">
        <v>88</v>
      </c>
      <c r="C151" s="4" t="s">
        <v>90</v>
      </c>
      <c r="F151" s="5">
        <v>42065.869797453706</v>
      </c>
      <c r="G151" s="4" t="s">
        <v>59</v>
      </c>
      <c r="AC151" s="4" t="s">
        <v>217</v>
      </c>
      <c r="AD151" s="4" t="s">
        <v>216</v>
      </c>
      <c r="AE151" s="4" t="s">
        <v>18</v>
      </c>
      <c r="AF151" s="4" t="s">
        <v>94</v>
      </c>
      <c r="AI151" s="4">
        <v>13.7882233</v>
      </c>
      <c r="AJ151" s="4" t="s">
        <v>142</v>
      </c>
      <c r="AK151" s="4" t="s">
        <v>141</v>
      </c>
    </row>
    <row r="152" spans="1:37">
      <c r="A152" s="4" t="s">
        <v>89</v>
      </c>
      <c r="B152" s="4" t="s">
        <v>88</v>
      </c>
      <c r="C152" s="4" t="s">
        <v>90</v>
      </c>
      <c r="F152" s="5">
        <v>42065.869837962964</v>
      </c>
      <c r="G152" s="4" t="s">
        <v>19</v>
      </c>
      <c r="H152" s="4">
        <v>0</v>
      </c>
      <c r="I152" s="4">
        <v>139.40857</v>
      </c>
      <c r="J152" s="4">
        <v>35.576140000000002</v>
      </c>
      <c r="K152" s="4" t="s">
        <v>226</v>
      </c>
      <c r="N152" s="4" t="s">
        <v>195</v>
      </c>
      <c r="O152" s="4" t="b">
        <v>1</v>
      </c>
      <c r="P152" s="4" t="b">
        <v>0</v>
      </c>
      <c r="Q152" s="4" t="b">
        <v>0</v>
      </c>
      <c r="R152" s="4" t="b">
        <v>0</v>
      </c>
      <c r="S152" s="4" t="b">
        <v>0</v>
      </c>
      <c r="T152" s="4" t="b">
        <v>0</v>
      </c>
      <c r="U152" s="4" t="b">
        <v>0</v>
      </c>
      <c r="V152" s="4" t="b">
        <v>0</v>
      </c>
      <c r="W152" s="4" t="b">
        <v>0</v>
      </c>
      <c r="X152" s="4" t="b">
        <v>1</v>
      </c>
      <c r="Y152" s="4" t="b">
        <v>1</v>
      </c>
    </row>
    <row r="153" spans="1:37">
      <c r="A153" s="4" t="s">
        <v>89</v>
      </c>
      <c r="B153" s="4" t="s">
        <v>88</v>
      </c>
      <c r="C153" s="4" t="s">
        <v>90</v>
      </c>
      <c r="F153" s="5">
        <v>42065.869849537034</v>
      </c>
      <c r="G153" s="4" t="s">
        <v>19</v>
      </c>
      <c r="H153" s="4">
        <v>3</v>
      </c>
      <c r="I153" s="4">
        <v>139.40857</v>
      </c>
      <c r="J153" s="4">
        <v>35.576140000000002</v>
      </c>
      <c r="K153" s="4" t="s">
        <v>226</v>
      </c>
      <c r="N153" s="4" t="s">
        <v>195</v>
      </c>
      <c r="O153" s="4" t="b">
        <v>1</v>
      </c>
      <c r="P153" s="4" t="b">
        <v>0</v>
      </c>
      <c r="Q153" s="4" t="b">
        <v>0</v>
      </c>
      <c r="R153" s="4" t="b">
        <v>0</v>
      </c>
      <c r="S153" s="4" t="b">
        <v>0</v>
      </c>
      <c r="T153" s="4" t="b">
        <v>0</v>
      </c>
      <c r="U153" s="4" t="b">
        <v>0</v>
      </c>
      <c r="V153" s="4" t="b">
        <v>0</v>
      </c>
      <c r="W153" s="4" t="b">
        <v>0</v>
      </c>
      <c r="X153" s="4" t="b">
        <v>1</v>
      </c>
      <c r="Y153" s="4" t="b">
        <v>1</v>
      </c>
    </row>
    <row r="154" spans="1:37">
      <c r="A154" s="4" t="s">
        <v>89</v>
      </c>
      <c r="B154" s="4" t="s">
        <v>88</v>
      </c>
      <c r="C154" s="4" t="s">
        <v>90</v>
      </c>
      <c r="F154" s="5">
        <v>42065.869907638888</v>
      </c>
      <c r="G154" s="4" t="s">
        <v>59</v>
      </c>
      <c r="AC154" s="4" t="s">
        <v>165</v>
      </c>
      <c r="AD154" s="4" t="s">
        <v>164</v>
      </c>
      <c r="AE154" s="4" t="s">
        <v>18</v>
      </c>
      <c r="AF154" s="4" t="s">
        <v>94</v>
      </c>
      <c r="AI154" s="4">
        <v>1810</v>
      </c>
      <c r="AJ154" s="4" t="s">
        <v>163</v>
      </c>
      <c r="AK154" s="4" t="s">
        <v>162</v>
      </c>
    </row>
    <row r="155" spans="1:37">
      <c r="A155" s="4" t="s">
        <v>89</v>
      </c>
      <c r="B155" s="4" t="s">
        <v>88</v>
      </c>
      <c r="C155" s="4" t="s">
        <v>90</v>
      </c>
      <c r="F155" s="5">
        <v>42065.869913194445</v>
      </c>
      <c r="G155" s="4" t="s">
        <v>59</v>
      </c>
      <c r="AC155" s="4" t="s">
        <v>217</v>
      </c>
      <c r="AD155" s="4" t="s">
        <v>216</v>
      </c>
      <c r="AE155" s="4" t="s">
        <v>18</v>
      </c>
      <c r="AF155" s="4" t="s">
        <v>94</v>
      </c>
      <c r="AI155" s="4">
        <v>14.074443799999999</v>
      </c>
      <c r="AJ155" s="4" t="s">
        <v>142</v>
      </c>
      <c r="AK155" s="4" t="s">
        <v>141</v>
      </c>
    </row>
    <row r="156" spans="1:37">
      <c r="A156" s="4" t="s">
        <v>89</v>
      </c>
      <c r="B156" s="4" t="s">
        <v>88</v>
      </c>
      <c r="C156" s="4" t="s">
        <v>90</v>
      </c>
      <c r="F156" s="5">
        <v>42065.86991898148</v>
      </c>
      <c r="G156" s="4" t="s">
        <v>19</v>
      </c>
      <c r="H156" s="4">
        <v>26</v>
      </c>
      <c r="I156" s="4">
        <v>139.40873999999999</v>
      </c>
      <c r="J156" s="4">
        <v>35.57629</v>
      </c>
      <c r="K156" s="4" t="s">
        <v>226</v>
      </c>
      <c r="N156" s="4" t="s">
        <v>211</v>
      </c>
      <c r="O156" s="4" t="b">
        <v>1</v>
      </c>
      <c r="P156" s="4" t="b">
        <v>0</v>
      </c>
      <c r="Q156" s="4" t="b">
        <v>0</v>
      </c>
      <c r="R156" s="4" t="b">
        <v>0</v>
      </c>
      <c r="S156" s="4" t="b">
        <v>0</v>
      </c>
      <c r="T156" s="4" t="b">
        <v>0</v>
      </c>
      <c r="U156" s="4" t="b">
        <v>0</v>
      </c>
      <c r="V156" s="4" t="b">
        <v>0</v>
      </c>
      <c r="W156" s="4" t="b">
        <v>0</v>
      </c>
      <c r="X156" s="4" t="b">
        <v>1</v>
      </c>
      <c r="Y156" s="4" t="b">
        <v>1</v>
      </c>
    </row>
    <row r="157" spans="1:37">
      <c r="A157" s="4" t="s">
        <v>89</v>
      </c>
      <c r="B157" s="4" t="s">
        <v>88</v>
      </c>
      <c r="C157" s="4" t="s">
        <v>90</v>
      </c>
      <c r="F157" s="5">
        <v>42065.870023148149</v>
      </c>
      <c r="G157" s="4" t="s">
        <v>19</v>
      </c>
      <c r="H157" s="4">
        <v>31</v>
      </c>
      <c r="I157" s="4">
        <v>139.40929</v>
      </c>
      <c r="J157" s="4">
        <v>35.576810000000002</v>
      </c>
      <c r="K157" s="4" t="s">
        <v>226</v>
      </c>
      <c r="N157" s="4" t="s">
        <v>211</v>
      </c>
      <c r="O157" s="4" t="b">
        <v>1</v>
      </c>
      <c r="P157" s="4" t="b">
        <v>0</v>
      </c>
      <c r="Q157" s="4" t="b">
        <v>0</v>
      </c>
      <c r="R157" s="4" t="b">
        <v>0</v>
      </c>
      <c r="S157" s="4" t="b">
        <v>0</v>
      </c>
      <c r="T157" s="4" t="b">
        <v>0</v>
      </c>
      <c r="U157" s="4" t="b">
        <v>0</v>
      </c>
      <c r="V157" s="4" t="b">
        <v>0</v>
      </c>
      <c r="W157" s="4" t="b">
        <v>0</v>
      </c>
      <c r="X157" s="4" t="b">
        <v>1</v>
      </c>
      <c r="Y157" s="4" t="b">
        <v>1</v>
      </c>
    </row>
    <row r="158" spans="1:37">
      <c r="A158" s="4" t="s">
        <v>89</v>
      </c>
      <c r="B158" s="4" t="s">
        <v>88</v>
      </c>
      <c r="C158" s="4" t="s">
        <v>90</v>
      </c>
      <c r="F158" s="5">
        <v>42065.870028437501</v>
      </c>
      <c r="G158" s="4" t="s">
        <v>59</v>
      </c>
      <c r="AC158" s="4" t="s">
        <v>203</v>
      </c>
      <c r="AD158" s="4" t="s">
        <v>202</v>
      </c>
      <c r="AE158" s="4" t="s">
        <v>18</v>
      </c>
      <c r="AF158" s="4" t="s">
        <v>94</v>
      </c>
      <c r="AI158" s="4">
        <v>45</v>
      </c>
      <c r="AJ158" s="4" t="s">
        <v>201</v>
      </c>
      <c r="AK158" s="4" t="s">
        <v>200</v>
      </c>
    </row>
    <row r="159" spans="1:37">
      <c r="A159" s="4" t="s">
        <v>89</v>
      </c>
      <c r="B159" s="4" t="s">
        <v>88</v>
      </c>
      <c r="C159" s="4" t="s">
        <v>90</v>
      </c>
      <c r="F159" s="5">
        <v>42065.870144675922</v>
      </c>
      <c r="G159" s="4" t="s">
        <v>59</v>
      </c>
      <c r="AC159" s="4" t="s">
        <v>217</v>
      </c>
      <c r="AD159" s="4" t="s">
        <v>216</v>
      </c>
      <c r="AE159" s="4" t="s">
        <v>18</v>
      </c>
      <c r="AF159" s="4" t="s">
        <v>94</v>
      </c>
      <c r="AI159" s="4">
        <v>13.716666200000001</v>
      </c>
      <c r="AJ159" s="4" t="s">
        <v>142</v>
      </c>
      <c r="AK159" s="4" t="s">
        <v>141</v>
      </c>
    </row>
    <row r="160" spans="1:37">
      <c r="A160" s="4" t="s">
        <v>89</v>
      </c>
      <c r="B160" s="4" t="s">
        <v>88</v>
      </c>
      <c r="C160" s="4" t="s">
        <v>90</v>
      </c>
      <c r="F160" s="5">
        <v>42065.870185185187</v>
      </c>
      <c r="G160" s="4" t="s">
        <v>19</v>
      </c>
      <c r="H160" s="4">
        <v>0</v>
      </c>
      <c r="I160" s="4">
        <v>139.40984</v>
      </c>
      <c r="J160" s="4">
        <v>35.577289999999998</v>
      </c>
      <c r="K160" s="4" t="s">
        <v>226</v>
      </c>
      <c r="N160" s="4" t="s">
        <v>195</v>
      </c>
      <c r="O160" s="4" t="b">
        <v>1</v>
      </c>
      <c r="P160" s="4" t="b">
        <v>0</v>
      </c>
      <c r="Q160" s="4" t="b">
        <v>0</v>
      </c>
      <c r="R160" s="4" t="b">
        <v>0</v>
      </c>
      <c r="S160" s="4" t="b">
        <v>0</v>
      </c>
      <c r="T160" s="4" t="b">
        <v>0</v>
      </c>
      <c r="U160" s="4" t="b">
        <v>0</v>
      </c>
      <c r="V160" s="4" t="b">
        <v>0</v>
      </c>
      <c r="W160" s="4" t="b">
        <v>0</v>
      </c>
      <c r="X160" s="4" t="b">
        <v>1</v>
      </c>
      <c r="Y160" s="4" t="b">
        <v>1</v>
      </c>
    </row>
    <row r="161" spans="1:38">
      <c r="A161" s="4" t="s">
        <v>89</v>
      </c>
      <c r="B161" s="4" t="s">
        <v>88</v>
      </c>
      <c r="C161" s="4" t="s">
        <v>90</v>
      </c>
      <c r="F161" s="5">
        <v>42065.87027777778</v>
      </c>
      <c r="G161" s="4" t="s">
        <v>19</v>
      </c>
      <c r="H161" s="4">
        <v>0</v>
      </c>
      <c r="I161" s="4">
        <v>139.40987000000001</v>
      </c>
      <c r="J161" s="4">
        <v>35.57732</v>
      </c>
      <c r="K161" s="4" t="s">
        <v>226</v>
      </c>
      <c r="N161" s="4" t="s">
        <v>224</v>
      </c>
      <c r="O161" s="4" t="b">
        <v>1</v>
      </c>
      <c r="P161" s="4" t="b">
        <v>0</v>
      </c>
      <c r="Q161" s="4" t="b">
        <v>0</v>
      </c>
      <c r="R161" s="4" t="b">
        <v>0</v>
      </c>
      <c r="S161" s="4" t="b">
        <v>0</v>
      </c>
      <c r="T161" s="4" t="b">
        <v>0</v>
      </c>
      <c r="U161" s="4" t="b">
        <v>0</v>
      </c>
      <c r="V161" s="4" t="b">
        <v>0</v>
      </c>
      <c r="W161" s="4" t="b">
        <v>0</v>
      </c>
      <c r="X161" s="4" t="b">
        <v>1</v>
      </c>
      <c r="Y161" s="4" t="b">
        <v>1</v>
      </c>
    </row>
    <row r="162" spans="1:38">
      <c r="A162" s="4" t="s">
        <v>89</v>
      </c>
      <c r="B162" s="4" t="s">
        <v>88</v>
      </c>
      <c r="C162" s="4" t="s">
        <v>90</v>
      </c>
      <c r="F162" s="5">
        <v>42065.870370520832</v>
      </c>
      <c r="G162" s="4" t="s">
        <v>59</v>
      </c>
      <c r="AC162" s="4" t="s">
        <v>165</v>
      </c>
      <c r="AD162" s="4" t="s">
        <v>164</v>
      </c>
      <c r="AE162" s="4" t="s">
        <v>18</v>
      </c>
      <c r="AF162" s="4" t="s">
        <v>94</v>
      </c>
      <c r="AI162" s="4">
        <v>791.25</v>
      </c>
      <c r="AJ162" s="4" t="s">
        <v>163</v>
      </c>
      <c r="AK162" s="4" t="s">
        <v>162</v>
      </c>
    </row>
    <row r="163" spans="1:38">
      <c r="A163" s="4" t="s">
        <v>89</v>
      </c>
      <c r="B163" s="4" t="s">
        <v>88</v>
      </c>
      <c r="C163" s="4" t="s">
        <v>90</v>
      </c>
      <c r="F163" s="5">
        <v>42065.870381944442</v>
      </c>
      <c r="G163" s="4" t="s">
        <v>19</v>
      </c>
      <c r="H163" s="4">
        <v>1</v>
      </c>
      <c r="I163" s="4">
        <v>139.40987000000001</v>
      </c>
      <c r="J163" s="4">
        <v>35.57732</v>
      </c>
      <c r="K163" s="4" t="s">
        <v>226</v>
      </c>
      <c r="N163" s="4" t="s">
        <v>195</v>
      </c>
      <c r="O163" s="4" t="b">
        <v>1</v>
      </c>
      <c r="P163" s="4" t="b">
        <v>0</v>
      </c>
      <c r="Q163" s="4" t="b">
        <v>0</v>
      </c>
      <c r="R163" s="4" t="b">
        <v>0</v>
      </c>
      <c r="S163" s="4" t="b">
        <v>0</v>
      </c>
      <c r="T163" s="4" t="b">
        <v>0</v>
      </c>
      <c r="U163" s="4" t="b">
        <v>0</v>
      </c>
      <c r="V163" s="4" t="b">
        <v>0</v>
      </c>
      <c r="W163" s="4" t="b">
        <v>0</v>
      </c>
      <c r="X163" s="4" t="b">
        <v>1</v>
      </c>
      <c r="Y163" s="4" t="b">
        <v>1</v>
      </c>
    </row>
    <row r="164" spans="1:38">
      <c r="A164" s="4" t="s">
        <v>89</v>
      </c>
      <c r="B164" s="4" t="s">
        <v>88</v>
      </c>
      <c r="C164" s="4" t="s">
        <v>90</v>
      </c>
      <c r="F164" s="5">
        <v>42065.870428321759</v>
      </c>
      <c r="G164" s="4" t="s">
        <v>59</v>
      </c>
      <c r="AC164" s="4" t="s">
        <v>165</v>
      </c>
      <c r="AD164" s="4" t="s">
        <v>164</v>
      </c>
      <c r="AE164" s="4" t="s">
        <v>18</v>
      </c>
      <c r="AF164" s="4" t="s">
        <v>94</v>
      </c>
      <c r="AI164" s="4">
        <v>1909</v>
      </c>
      <c r="AJ164" s="4" t="s">
        <v>163</v>
      </c>
      <c r="AK164" s="4" t="s">
        <v>162</v>
      </c>
    </row>
    <row r="165" spans="1:38">
      <c r="A165" s="4" t="s">
        <v>89</v>
      </c>
      <c r="B165" s="4" t="s">
        <v>88</v>
      </c>
      <c r="C165" s="4" t="s">
        <v>90</v>
      </c>
      <c r="F165" s="5">
        <v>42065.870532835645</v>
      </c>
      <c r="G165" s="4" t="s">
        <v>59</v>
      </c>
      <c r="AC165" s="4" t="s">
        <v>165</v>
      </c>
      <c r="AD165" s="4" t="s">
        <v>164</v>
      </c>
      <c r="AE165" s="4" t="s">
        <v>18</v>
      </c>
      <c r="AF165" s="4" t="s">
        <v>94</v>
      </c>
      <c r="AI165" s="4">
        <v>1931.5</v>
      </c>
      <c r="AJ165" s="4" t="s">
        <v>163</v>
      </c>
      <c r="AK165" s="4" t="s">
        <v>162</v>
      </c>
    </row>
    <row r="166" spans="1:38">
      <c r="A166" s="4" t="s">
        <v>89</v>
      </c>
      <c r="B166" s="4" t="s">
        <v>88</v>
      </c>
      <c r="C166" s="4" t="s">
        <v>90</v>
      </c>
      <c r="F166" s="5">
        <v>42065.87054398148</v>
      </c>
      <c r="G166" s="4" t="s">
        <v>19</v>
      </c>
      <c r="H166" s="4">
        <v>31</v>
      </c>
      <c r="I166" s="4">
        <v>139.41046</v>
      </c>
      <c r="J166" s="4">
        <v>35.577800000000003</v>
      </c>
      <c r="K166" s="4" t="s">
        <v>227</v>
      </c>
      <c r="N166" s="4" t="s">
        <v>211</v>
      </c>
      <c r="O166" s="4" t="b">
        <v>1</v>
      </c>
      <c r="P166" s="4" t="b">
        <v>0</v>
      </c>
      <c r="Q166" s="4" t="b">
        <v>0</v>
      </c>
      <c r="R166" s="4" t="b">
        <v>0</v>
      </c>
      <c r="S166" s="4" t="b">
        <v>0</v>
      </c>
      <c r="T166" s="4" t="b">
        <v>0</v>
      </c>
      <c r="U166" s="4" t="b">
        <v>0</v>
      </c>
      <c r="V166" s="4" t="b">
        <v>0</v>
      </c>
      <c r="W166" s="4" t="b">
        <v>0</v>
      </c>
      <c r="X166" s="4" t="b">
        <v>1</v>
      </c>
      <c r="Y166" s="4" t="b">
        <v>1</v>
      </c>
    </row>
    <row r="167" spans="1:38">
      <c r="A167" s="4" t="s">
        <v>89</v>
      </c>
      <c r="B167" s="4" t="s">
        <v>88</v>
      </c>
      <c r="C167" s="4" t="s">
        <v>90</v>
      </c>
      <c r="F167" s="5">
        <v>42065.870567164355</v>
      </c>
      <c r="G167" s="4" t="s">
        <v>59</v>
      </c>
      <c r="AC167" s="4" t="s">
        <v>165</v>
      </c>
      <c r="AD167" s="4" t="s">
        <v>164</v>
      </c>
      <c r="AE167" s="4" t="s">
        <v>18</v>
      </c>
      <c r="AF167" s="4" t="s">
        <v>94</v>
      </c>
      <c r="AI167" s="4">
        <v>1146.75</v>
      </c>
      <c r="AJ167" s="4" t="s">
        <v>163</v>
      </c>
      <c r="AK167" s="4" t="s">
        <v>162</v>
      </c>
    </row>
    <row r="168" spans="1:38">
      <c r="A168" s="4" t="s">
        <v>89</v>
      </c>
      <c r="B168" s="4" t="s">
        <v>88</v>
      </c>
      <c r="C168" s="4" t="s">
        <v>90</v>
      </c>
      <c r="F168" s="5">
        <v>42065.870659722219</v>
      </c>
      <c r="G168" s="4" t="s">
        <v>19</v>
      </c>
      <c r="H168" s="4">
        <v>0</v>
      </c>
      <c r="I168" s="4">
        <v>139.41081</v>
      </c>
      <c r="J168" s="4">
        <v>35.578139999999998</v>
      </c>
      <c r="K168" s="4" t="s">
        <v>227</v>
      </c>
      <c r="N168" s="4" t="s">
        <v>195</v>
      </c>
      <c r="O168" s="4" t="b">
        <v>1</v>
      </c>
      <c r="P168" s="4" t="b">
        <v>0</v>
      </c>
      <c r="Q168" s="4" t="b">
        <v>0</v>
      </c>
      <c r="R168" s="4" t="b">
        <v>0</v>
      </c>
      <c r="S168" s="4" t="b">
        <v>0</v>
      </c>
      <c r="T168" s="4" t="b">
        <v>0</v>
      </c>
      <c r="U168" s="4" t="b">
        <v>0</v>
      </c>
      <c r="V168" s="4" t="b">
        <v>0</v>
      </c>
      <c r="W168" s="4" t="b">
        <v>0</v>
      </c>
      <c r="X168" s="4" t="b">
        <v>1</v>
      </c>
      <c r="Y168" s="4" t="b">
        <v>1</v>
      </c>
    </row>
    <row r="169" spans="1:38">
      <c r="A169" s="4" t="s">
        <v>89</v>
      </c>
      <c r="B169" s="4" t="s">
        <v>88</v>
      </c>
      <c r="C169" s="4" t="s">
        <v>90</v>
      </c>
      <c r="F169" s="5">
        <v>42065.870954861108</v>
      </c>
      <c r="G169" s="4" t="s">
        <v>59</v>
      </c>
      <c r="AC169" s="4" t="s">
        <v>217</v>
      </c>
      <c r="AD169" s="4" t="s">
        <v>216</v>
      </c>
      <c r="AE169" s="4" t="s">
        <v>18</v>
      </c>
      <c r="AF169" s="4" t="s">
        <v>94</v>
      </c>
      <c r="AI169" s="4">
        <v>14.0028887</v>
      </c>
      <c r="AJ169" s="4" t="s">
        <v>142</v>
      </c>
      <c r="AK169" s="4" t="s">
        <v>141</v>
      </c>
    </row>
    <row r="170" spans="1:38">
      <c r="A170" s="4" t="s">
        <v>89</v>
      </c>
      <c r="B170" s="4" t="s">
        <v>88</v>
      </c>
      <c r="C170" s="4" t="s">
        <v>90</v>
      </c>
      <c r="F170" s="5">
        <v>42065.87096064815</v>
      </c>
      <c r="G170" s="4" t="s">
        <v>98</v>
      </c>
      <c r="N170" s="4" t="s">
        <v>206</v>
      </c>
      <c r="AL170" s="4" t="s">
        <v>208</v>
      </c>
    </row>
    <row r="171" spans="1:38">
      <c r="A171" s="4" t="s">
        <v>89</v>
      </c>
      <c r="B171" s="4" t="s">
        <v>88</v>
      </c>
      <c r="C171" s="4" t="s">
        <v>90</v>
      </c>
      <c r="F171" s="5">
        <v>42065.871377465279</v>
      </c>
      <c r="G171" s="4" t="s">
        <v>59</v>
      </c>
      <c r="AC171" s="4" t="s">
        <v>165</v>
      </c>
      <c r="AD171" s="4" t="s">
        <v>164</v>
      </c>
      <c r="AE171" s="4" t="s">
        <v>18</v>
      </c>
      <c r="AF171" s="4" t="s">
        <v>94</v>
      </c>
      <c r="AI171" s="4">
        <v>781.75</v>
      </c>
      <c r="AJ171" s="4" t="s">
        <v>163</v>
      </c>
      <c r="AK171" s="4" t="s">
        <v>162</v>
      </c>
    </row>
    <row r="172" spans="1:38">
      <c r="A172" s="4" t="s">
        <v>89</v>
      </c>
      <c r="B172" s="4" t="s">
        <v>88</v>
      </c>
      <c r="C172" s="4" t="s">
        <v>90</v>
      </c>
      <c r="F172" s="5">
        <v>42065.871388888889</v>
      </c>
      <c r="G172" s="4" t="s">
        <v>19</v>
      </c>
      <c r="H172" s="4">
        <v>0</v>
      </c>
      <c r="I172" s="4">
        <v>139.41081</v>
      </c>
      <c r="J172" s="4">
        <v>35.578139999999998</v>
      </c>
      <c r="K172" s="4" t="s">
        <v>227</v>
      </c>
      <c r="N172" s="4" t="s">
        <v>211</v>
      </c>
      <c r="O172" s="4" t="b">
        <v>1</v>
      </c>
      <c r="P172" s="4" t="b">
        <v>0</v>
      </c>
      <c r="Q172" s="4" t="b">
        <v>0</v>
      </c>
      <c r="R172" s="4" t="b">
        <v>0</v>
      </c>
      <c r="S172" s="4" t="b">
        <v>0</v>
      </c>
      <c r="T172" s="4" t="b">
        <v>0</v>
      </c>
      <c r="U172" s="4" t="b">
        <v>0</v>
      </c>
      <c r="V172" s="4" t="b">
        <v>0</v>
      </c>
      <c r="W172" s="4" t="b">
        <v>0</v>
      </c>
      <c r="X172" s="4" t="b">
        <v>1</v>
      </c>
      <c r="Y172" s="4" t="b">
        <v>1</v>
      </c>
    </row>
    <row r="173" spans="1:38">
      <c r="A173" s="4" t="s">
        <v>89</v>
      </c>
      <c r="B173" s="4" t="s">
        <v>88</v>
      </c>
      <c r="C173" s="4" t="s">
        <v>90</v>
      </c>
      <c r="F173" s="5">
        <v>42065.871389039348</v>
      </c>
      <c r="G173" s="4" t="s">
        <v>59</v>
      </c>
      <c r="AC173" s="4" t="s">
        <v>165</v>
      </c>
      <c r="AD173" s="4" t="s">
        <v>164</v>
      </c>
      <c r="AE173" s="4" t="s">
        <v>18</v>
      </c>
      <c r="AF173" s="4" t="s">
        <v>94</v>
      </c>
      <c r="AI173" s="4">
        <v>1575.75</v>
      </c>
      <c r="AJ173" s="4" t="s">
        <v>163</v>
      </c>
      <c r="AK173" s="4" t="s">
        <v>162</v>
      </c>
    </row>
    <row r="174" spans="1:38">
      <c r="A174" s="4" t="s">
        <v>89</v>
      </c>
      <c r="B174" s="4" t="s">
        <v>88</v>
      </c>
      <c r="C174" s="4" t="s">
        <v>90</v>
      </c>
      <c r="F174" s="5">
        <v>42065.871400462966</v>
      </c>
      <c r="G174" s="4" t="s">
        <v>19</v>
      </c>
      <c r="H174" s="4">
        <v>7</v>
      </c>
      <c r="I174" s="4">
        <v>139.41084000000001</v>
      </c>
      <c r="J174" s="4">
        <v>35.578110000000002</v>
      </c>
      <c r="K174" s="4" t="s">
        <v>227</v>
      </c>
      <c r="N174" s="4" t="s">
        <v>195</v>
      </c>
      <c r="O174" s="4" t="b">
        <v>1</v>
      </c>
      <c r="P174" s="4" t="b">
        <v>0</v>
      </c>
      <c r="Q174" s="4" t="b">
        <v>0</v>
      </c>
      <c r="R174" s="4" t="b">
        <v>0</v>
      </c>
      <c r="S174" s="4" t="b">
        <v>0</v>
      </c>
      <c r="T174" s="4" t="b">
        <v>0</v>
      </c>
      <c r="U174" s="4" t="b">
        <v>0</v>
      </c>
      <c r="V174" s="4" t="b">
        <v>0</v>
      </c>
      <c r="W174" s="4" t="b">
        <v>0</v>
      </c>
      <c r="X174" s="4" t="b">
        <v>1</v>
      </c>
      <c r="Y174" s="4" t="b">
        <v>1</v>
      </c>
    </row>
    <row r="175" spans="1:38">
      <c r="A175" s="4" t="s">
        <v>89</v>
      </c>
      <c r="B175" s="4" t="s">
        <v>88</v>
      </c>
      <c r="C175" s="4" t="s">
        <v>90</v>
      </c>
      <c r="F175" s="5">
        <v>42065.871423611112</v>
      </c>
      <c r="G175" s="4" t="s">
        <v>19</v>
      </c>
      <c r="H175" s="4">
        <v>12</v>
      </c>
      <c r="I175" s="4">
        <v>139.41086999999999</v>
      </c>
      <c r="J175" s="4">
        <v>35.578139999999998</v>
      </c>
      <c r="K175" s="4" t="s">
        <v>227</v>
      </c>
      <c r="N175" s="4" t="s">
        <v>224</v>
      </c>
      <c r="O175" s="4" t="b">
        <v>1</v>
      </c>
      <c r="P175" s="4" t="b">
        <v>0</v>
      </c>
      <c r="Q175" s="4" t="b">
        <v>0</v>
      </c>
      <c r="R175" s="4" t="b">
        <v>0</v>
      </c>
      <c r="S175" s="4" t="b">
        <v>0</v>
      </c>
      <c r="T175" s="4" t="b">
        <v>0</v>
      </c>
      <c r="U175" s="4" t="b">
        <v>0</v>
      </c>
      <c r="V175" s="4" t="b">
        <v>0</v>
      </c>
      <c r="W175" s="4" t="b">
        <v>0</v>
      </c>
      <c r="X175" s="4" t="b">
        <v>1</v>
      </c>
      <c r="Y175" s="4" t="b">
        <v>1</v>
      </c>
    </row>
    <row r="176" spans="1:38">
      <c r="A176" s="4" t="s">
        <v>89</v>
      </c>
      <c r="B176" s="4" t="s">
        <v>88</v>
      </c>
      <c r="C176" s="4" t="s">
        <v>90</v>
      </c>
      <c r="F176" s="5">
        <v>42065.871435648151</v>
      </c>
      <c r="G176" s="4" t="s">
        <v>98</v>
      </c>
      <c r="N176" s="4" t="s">
        <v>218</v>
      </c>
      <c r="AL176" s="4" t="s">
        <v>228</v>
      </c>
    </row>
    <row r="177" spans="1:37">
      <c r="A177" s="4" t="s">
        <v>89</v>
      </c>
      <c r="B177" s="4" t="s">
        <v>88</v>
      </c>
      <c r="C177" s="4" t="s">
        <v>90</v>
      </c>
      <c r="F177" s="5">
        <v>42065.871469907404</v>
      </c>
      <c r="G177" s="4" t="s">
        <v>19</v>
      </c>
      <c r="H177" s="4">
        <v>20</v>
      </c>
      <c r="I177" s="4">
        <v>139.41079999999999</v>
      </c>
      <c r="J177" s="4">
        <v>35.578290000000003</v>
      </c>
      <c r="K177" s="4" t="s">
        <v>229</v>
      </c>
      <c r="N177" s="4" t="s">
        <v>210</v>
      </c>
      <c r="O177" s="4" t="b">
        <v>1</v>
      </c>
      <c r="P177" s="4" t="b">
        <v>0</v>
      </c>
      <c r="Q177" s="4" t="b">
        <v>0</v>
      </c>
      <c r="R177" s="4" t="b">
        <v>0</v>
      </c>
      <c r="S177" s="4" t="b">
        <v>0</v>
      </c>
      <c r="T177" s="4" t="b">
        <v>0</v>
      </c>
      <c r="U177" s="4" t="b">
        <v>0</v>
      </c>
      <c r="V177" s="4" t="b">
        <v>0</v>
      </c>
      <c r="W177" s="4" t="b">
        <v>0</v>
      </c>
      <c r="X177" s="4" t="b">
        <v>1</v>
      </c>
      <c r="Y177" s="4" t="b">
        <v>1</v>
      </c>
    </row>
    <row r="178" spans="1:37">
      <c r="A178" s="4" t="s">
        <v>89</v>
      </c>
      <c r="B178" s="4" t="s">
        <v>88</v>
      </c>
      <c r="C178" s="4" t="s">
        <v>90</v>
      </c>
      <c r="F178" s="5">
        <v>42065.871504664348</v>
      </c>
      <c r="G178" s="4" t="s">
        <v>59</v>
      </c>
      <c r="AC178" s="4" t="s">
        <v>165</v>
      </c>
      <c r="AD178" s="4" t="s">
        <v>164</v>
      </c>
      <c r="AE178" s="4" t="s">
        <v>18</v>
      </c>
      <c r="AF178" s="4" t="s">
        <v>94</v>
      </c>
      <c r="AI178" s="4">
        <v>2101.25</v>
      </c>
      <c r="AJ178" s="4" t="s">
        <v>163</v>
      </c>
      <c r="AK178" s="4" t="s">
        <v>162</v>
      </c>
    </row>
    <row r="179" spans="1:37">
      <c r="A179" s="4" t="s">
        <v>89</v>
      </c>
      <c r="B179" s="4" t="s">
        <v>88</v>
      </c>
      <c r="C179" s="4" t="s">
        <v>90</v>
      </c>
      <c r="F179" s="5">
        <v>42065.871539386571</v>
      </c>
      <c r="G179" s="4" t="s">
        <v>59</v>
      </c>
      <c r="AC179" s="4" t="s">
        <v>165</v>
      </c>
      <c r="AD179" s="4" t="s">
        <v>164</v>
      </c>
      <c r="AE179" s="4" t="s">
        <v>18</v>
      </c>
      <c r="AF179" s="4" t="s">
        <v>94</v>
      </c>
      <c r="AI179" s="4">
        <v>1468</v>
      </c>
      <c r="AJ179" s="4" t="s">
        <v>163</v>
      </c>
      <c r="AK179" s="4" t="s">
        <v>162</v>
      </c>
    </row>
    <row r="180" spans="1:37">
      <c r="A180" s="4" t="s">
        <v>89</v>
      </c>
      <c r="B180" s="4" t="s">
        <v>88</v>
      </c>
      <c r="C180" s="4" t="s">
        <v>90</v>
      </c>
      <c r="F180" s="5">
        <v>42065.871631944443</v>
      </c>
      <c r="G180" s="4" t="s">
        <v>19</v>
      </c>
      <c r="H180" s="4">
        <v>44</v>
      </c>
      <c r="I180" s="4">
        <v>139.40944999999999</v>
      </c>
      <c r="J180" s="4">
        <v>35.578749999999999</v>
      </c>
      <c r="K180" s="4" t="s">
        <v>230</v>
      </c>
      <c r="N180" s="4" t="s">
        <v>210</v>
      </c>
      <c r="O180" s="4" t="b">
        <v>1</v>
      </c>
      <c r="P180" s="4" t="b">
        <v>0</v>
      </c>
      <c r="Q180" s="4" t="b">
        <v>0</v>
      </c>
      <c r="R180" s="4" t="b">
        <v>0</v>
      </c>
      <c r="S180" s="4" t="b">
        <v>0</v>
      </c>
      <c r="T180" s="4" t="b">
        <v>0</v>
      </c>
      <c r="U180" s="4" t="b">
        <v>0</v>
      </c>
      <c r="V180" s="4" t="b">
        <v>0</v>
      </c>
      <c r="W180" s="4" t="b">
        <v>0</v>
      </c>
      <c r="X180" s="4" t="b">
        <v>1</v>
      </c>
      <c r="Y180" s="4" t="b">
        <v>1</v>
      </c>
    </row>
    <row r="181" spans="1:37">
      <c r="A181" s="4" t="s">
        <v>89</v>
      </c>
      <c r="B181" s="4" t="s">
        <v>88</v>
      </c>
      <c r="C181" s="4" t="s">
        <v>90</v>
      </c>
      <c r="F181" s="5">
        <v>42065.871898148151</v>
      </c>
      <c r="G181" s="4" t="s">
        <v>19</v>
      </c>
      <c r="H181" s="4">
        <v>44</v>
      </c>
      <c r="I181" s="4">
        <v>139.40672000000001</v>
      </c>
      <c r="J181" s="4">
        <v>35.580240000000003</v>
      </c>
      <c r="K181" s="4" t="s">
        <v>231</v>
      </c>
      <c r="N181" s="4" t="s">
        <v>210</v>
      </c>
      <c r="O181" s="4" t="b">
        <v>1</v>
      </c>
      <c r="P181" s="4" t="b">
        <v>0</v>
      </c>
      <c r="Q181" s="4" t="b">
        <v>0</v>
      </c>
      <c r="R181" s="4" t="b">
        <v>0</v>
      </c>
      <c r="S181" s="4" t="b">
        <v>0</v>
      </c>
      <c r="T181" s="4" t="b">
        <v>0</v>
      </c>
      <c r="U181" s="4" t="b">
        <v>0</v>
      </c>
      <c r="V181" s="4" t="b">
        <v>0</v>
      </c>
      <c r="W181" s="4" t="b">
        <v>0</v>
      </c>
      <c r="X181" s="4" t="b">
        <v>1</v>
      </c>
      <c r="Y181" s="4" t="b">
        <v>1</v>
      </c>
    </row>
    <row r="182" spans="1:37">
      <c r="A182" s="4" t="s">
        <v>89</v>
      </c>
      <c r="B182" s="4" t="s">
        <v>88</v>
      </c>
      <c r="C182" s="4" t="s">
        <v>90</v>
      </c>
      <c r="F182" s="5">
        <v>42065.872013888889</v>
      </c>
      <c r="G182" s="4" t="s">
        <v>19</v>
      </c>
      <c r="H182" s="4">
        <v>48</v>
      </c>
      <c r="I182" s="4">
        <v>139.40540999999999</v>
      </c>
      <c r="J182" s="4">
        <v>35.580719999999999</v>
      </c>
      <c r="K182" s="4" t="s">
        <v>229</v>
      </c>
      <c r="N182" s="4" t="s">
        <v>211</v>
      </c>
      <c r="O182" s="4" t="b">
        <v>1</v>
      </c>
      <c r="P182" s="4" t="b">
        <v>0</v>
      </c>
      <c r="Q182" s="4" t="b">
        <v>0</v>
      </c>
      <c r="R182" s="4" t="b">
        <v>0</v>
      </c>
      <c r="S182" s="4" t="b">
        <v>0</v>
      </c>
      <c r="T182" s="4" t="b">
        <v>0</v>
      </c>
      <c r="U182" s="4" t="b">
        <v>0</v>
      </c>
      <c r="V182" s="4" t="b">
        <v>0</v>
      </c>
      <c r="W182" s="4" t="b">
        <v>0</v>
      </c>
      <c r="X182" s="4" t="b">
        <v>1</v>
      </c>
      <c r="Y182" s="4" t="b">
        <v>1</v>
      </c>
    </row>
    <row r="183" spans="1:37">
      <c r="A183" s="4" t="s">
        <v>89</v>
      </c>
      <c r="B183" s="4" t="s">
        <v>88</v>
      </c>
      <c r="C183" s="4" t="s">
        <v>90</v>
      </c>
      <c r="F183" s="5">
        <v>42065.872071759259</v>
      </c>
      <c r="G183" s="4" t="s">
        <v>19</v>
      </c>
      <c r="H183" s="4">
        <v>37</v>
      </c>
      <c r="I183" s="4">
        <v>139.40483</v>
      </c>
      <c r="J183" s="4">
        <v>35.580930000000002</v>
      </c>
      <c r="K183" s="4" t="s">
        <v>229</v>
      </c>
      <c r="N183" s="4" t="s">
        <v>210</v>
      </c>
      <c r="O183" s="4" t="b">
        <v>1</v>
      </c>
      <c r="P183" s="4" t="b">
        <v>0</v>
      </c>
      <c r="Q183" s="4" t="b">
        <v>0</v>
      </c>
      <c r="R183" s="4" t="b">
        <v>0</v>
      </c>
      <c r="S183" s="4" t="b">
        <v>0</v>
      </c>
      <c r="T183" s="4" t="b">
        <v>0</v>
      </c>
      <c r="U183" s="4" t="b">
        <v>0</v>
      </c>
      <c r="V183" s="4" t="b">
        <v>0</v>
      </c>
      <c r="W183" s="4" t="b">
        <v>0</v>
      </c>
      <c r="X183" s="4" t="b">
        <v>1</v>
      </c>
      <c r="Y183" s="4" t="b">
        <v>1</v>
      </c>
    </row>
    <row r="184" spans="1:37">
      <c r="A184" s="4" t="s">
        <v>89</v>
      </c>
      <c r="B184" s="4" t="s">
        <v>88</v>
      </c>
      <c r="C184" s="4" t="s">
        <v>90</v>
      </c>
      <c r="F184" s="5">
        <v>42065.872187499997</v>
      </c>
      <c r="G184" s="4" t="s">
        <v>19</v>
      </c>
      <c r="H184" s="4">
        <v>48</v>
      </c>
      <c r="I184" s="4">
        <v>139.40415999999999</v>
      </c>
      <c r="J184" s="4">
        <v>35.58193</v>
      </c>
      <c r="K184" s="4" t="s">
        <v>232</v>
      </c>
      <c r="N184" s="4" t="s">
        <v>211</v>
      </c>
      <c r="O184" s="4" t="b">
        <v>1</v>
      </c>
      <c r="P184" s="4" t="b">
        <v>0</v>
      </c>
      <c r="Q184" s="4" t="b">
        <v>0</v>
      </c>
      <c r="R184" s="4" t="b">
        <v>0</v>
      </c>
      <c r="S184" s="4" t="b">
        <v>0</v>
      </c>
      <c r="T184" s="4" t="b">
        <v>0</v>
      </c>
      <c r="U184" s="4" t="b">
        <v>0</v>
      </c>
      <c r="V184" s="4" t="b">
        <v>0</v>
      </c>
      <c r="W184" s="4" t="b">
        <v>0</v>
      </c>
      <c r="X184" s="4" t="b">
        <v>1</v>
      </c>
      <c r="Y184" s="4" t="b">
        <v>1</v>
      </c>
    </row>
    <row r="185" spans="1:37">
      <c r="A185" s="4" t="s">
        <v>89</v>
      </c>
      <c r="B185" s="4" t="s">
        <v>88</v>
      </c>
      <c r="C185" s="4" t="s">
        <v>90</v>
      </c>
      <c r="F185" s="5">
        <v>42065.872314814813</v>
      </c>
      <c r="G185" s="4" t="s">
        <v>19</v>
      </c>
      <c r="H185" s="4">
        <v>44</v>
      </c>
      <c r="I185" s="4">
        <v>139.40341000000001</v>
      </c>
      <c r="J185" s="4">
        <v>35.58305</v>
      </c>
      <c r="K185" s="4" t="s">
        <v>232</v>
      </c>
      <c r="N185" s="4" t="s">
        <v>210</v>
      </c>
      <c r="O185" s="4" t="b">
        <v>1</v>
      </c>
      <c r="P185" s="4" t="b">
        <v>0</v>
      </c>
      <c r="Q185" s="4" t="b">
        <v>0</v>
      </c>
      <c r="R185" s="4" t="b">
        <v>0</v>
      </c>
      <c r="S185" s="4" t="b">
        <v>0</v>
      </c>
      <c r="T185" s="4" t="b">
        <v>0</v>
      </c>
      <c r="U185" s="4" t="b">
        <v>0</v>
      </c>
      <c r="V185" s="4" t="b">
        <v>0</v>
      </c>
      <c r="W185" s="4" t="b">
        <v>0</v>
      </c>
      <c r="X185" s="4" t="b">
        <v>1</v>
      </c>
      <c r="Y185" s="4" t="b">
        <v>1</v>
      </c>
    </row>
    <row r="186" spans="1:37">
      <c r="A186" s="4" t="s">
        <v>89</v>
      </c>
      <c r="B186" s="4" t="s">
        <v>88</v>
      </c>
      <c r="C186" s="4" t="s">
        <v>90</v>
      </c>
      <c r="F186" s="5">
        <v>42065.872442129628</v>
      </c>
      <c r="G186" s="4" t="s">
        <v>19</v>
      </c>
      <c r="H186" s="4">
        <v>0</v>
      </c>
      <c r="I186" s="4">
        <v>139.40291999999999</v>
      </c>
      <c r="J186" s="4">
        <v>35.583460000000002</v>
      </c>
      <c r="K186" s="4" t="s">
        <v>232</v>
      </c>
      <c r="N186" s="4" t="s">
        <v>195</v>
      </c>
      <c r="O186" s="4" t="b">
        <v>1</v>
      </c>
      <c r="P186" s="4" t="b">
        <v>0</v>
      </c>
      <c r="Q186" s="4" t="b">
        <v>0</v>
      </c>
      <c r="R186" s="4" t="b">
        <v>0</v>
      </c>
      <c r="S186" s="4" t="b">
        <v>0</v>
      </c>
      <c r="T186" s="4" t="b">
        <v>0</v>
      </c>
      <c r="U186" s="4" t="b">
        <v>0</v>
      </c>
      <c r="V186" s="4" t="b">
        <v>0</v>
      </c>
      <c r="W186" s="4" t="b">
        <v>0</v>
      </c>
      <c r="X186" s="4" t="b">
        <v>1</v>
      </c>
      <c r="Y186" s="4" t="b">
        <v>1</v>
      </c>
    </row>
    <row r="187" spans="1:37">
      <c r="A187" s="4" t="s">
        <v>89</v>
      </c>
      <c r="B187" s="4" t="s">
        <v>88</v>
      </c>
      <c r="C187" s="4" t="s">
        <v>90</v>
      </c>
      <c r="F187" s="5">
        <v>42065.872569444444</v>
      </c>
      <c r="G187" s="4" t="s">
        <v>19</v>
      </c>
      <c r="H187" s="4">
        <v>0</v>
      </c>
      <c r="I187" s="4">
        <v>139.40291999999999</v>
      </c>
      <c r="J187" s="4">
        <v>35.583460000000002</v>
      </c>
      <c r="K187" s="4" t="s">
        <v>232</v>
      </c>
      <c r="N187" s="4" t="s">
        <v>224</v>
      </c>
      <c r="O187" s="4" t="b">
        <v>1</v>
      </c>
      <c r="P187" s="4" t="b">
        <v>0</v>
      </c>
      <c r="Q187" s="4" t="b">
        <v>0</v>
      </c>
      <c r="R187" s="4" t="b">
        <v>0</v>
      </c>
      <c r="S187" s="4" t="b">
        <v>0</v>
      </c>
      <c r="T187" s="4" t="b">
        <v>0</v>
      </c>
      <c r="U187" s="4" t="b">
        <v>0</v>
      </c>
      <c r="V187" s="4" t="b">
        <v>0</v>
      </c>
      <c r="W187" s="4" t="b">
        <v>0</v>
      </c>
      <c r="X187" s="4" t="b">
        <v>1</v>
      </c>
      <c r="Y187" s="4" t="b">
        <v>1</v>
      </c>
    </row>
    <row r="188" spans="1:37">
      <c r="A188" s="4" t="s">
        <v>89</v>
      </c>
      <c r="B188" s="4" t="s">
        <v>88</v>
      </c>
      <c r="C188" s="4" t="s">
        <v>90</v>
      </c>
      <c r="F188" s="5">
        <v>42065.872806250001</v>
      </c>
      <c r="G188" s="4" t="s">
        <v>59</v>
      </c>
      <c r="AC188" s="4" t="s">
        <v>203</v>
      </c>
      <c r="AD188" s="4" t="s">
        <v>202</v>
      </c>
      <c r="AE188" s="4" t="s">
        <v>18</v>
      </c>
      <c r="AF188" s="4" t="s">
        <v>94</v>
      </c>
      <c r="AI188" s="4">
        <v>60</v>
      </c>
      <c r="AJ188" s="4" t="s">
        <v>201</v>
      </c>
      <c r="AK188" s="4" t="s">
        <v>200</v>
      </c>
    </row>
    <row r="189" spans="1:37">
      <c r="A189" s="4" t="s">
        <v>89</v>
      </c>
      <c r="B189" s="4" t="s">
        <v>88</v>
      </c>
      <c r="C189" s="4" t="s">
        <v>90</v>
      </c>
      <c r="F189" s="5">
        <v>42065.872835682872</v>
      </c>
      <c r="G189" s="4" t="s">
        <v>59</v>
      </c>
      <c r="AC189" s="4" t="s">
        <v>165</v>
      </c>
      <c r="AD189" s="4" t="s">
        <v>164</v>
      </c>
      <c r="AE189" s="4" t="s">
        <v>18</v>
      </c>
      <c r="AF189" s="4" t="s">
        <v>94</v>
      </c>
      <c r="AI189" s="4">
        <v>767.75</v>
      </c>
      <c r="AJ189" s="4" t="s">
        <v>163</v>
      </c>
      <c r="AK189" s="4" t="s">
        <v>162</v>
      </c>
    </row>
    <row r="190" spans="1:37">
      <c r="A190" s="4" t="s">
        <v>89</v>
      </c>
      <c r="B190" s="4" t="s">
        <v>88</v>
      </c>
      <c r="C190" s="4" t="s">
        <v>90</v>
      </c>
      <c r="F190" s="5">
        <v>42065.872847222221</v>
      </c>
      <c r="G190" s="4" t="s">
        <v>19</v>
      </c>
      <c r="H190" s="4">
        <v>1</v>
      </c>
      <c r="I190" s="4">
        <v>139.40291999999999</v>
      </c>
      <c r="J190" s="4">
        <v>35.583489999999998</v>
      </c>
      <c r="K190" s="4" t="s">
        <v>232</v>
      </c>
      <c r="N190" s="4" t="s">
        <v>195</v>
      </c>
      <c r="O190" s="4" t="b">
        <v>1</v>
      </c>
      <c r="P190" s="4" t="b">
        <v>0</v>
      </c>
      <c r="Q190" s="4" t="b">
        <v>0</v>
      </c>
      <c r="R190" s="4" t="b">
        <v>0</v>
      </c>
      <c r="S190" s="4" t="b">
        <v>0</v>
      </c>
      <c r="T190" s="4" t="b">
        <v>0</v>
      </c>
      <c r="U190" s="4" t="b">
        <v>0</v>
      </c>
      <c r="V190" s="4" t="b">
        <v>0</v>
      </c>
      <c r="W190" s="4" t="b">
        <v>0</v>
      </c>
      <c r="X190" s="4" t="b">
        <v>1</v>
      </c>
      <c r="Y190" s="4" t="b">
        <v>1</v>
      </c>
    </row>
    <row r="191" spans="1:37">
      <c r="A191" s="4" t="s">
        <v>89</v>
      </c>
      <c r="B191" s="4" t="s">
        <v>88</v>
      </c>
      <c r="C191" s="4" t="s">
        <v>90</v>
      </c>
      <c r="F191" s="5">
        <v>42065.87300925926</v>
      </c>
      <c r="G191" s="4" t="s">
        <v>19</v>
      </c>
      <c r="H191" s="4">
        <v>39</v>
      </c>
      <c r="I191" s="4">
        <v>139.40213</v>
      </c>
      <c r="J191" s="4">
        <v>35.5839</v>
      </c>
      <c r="K191" s="4" t="s">
        <v>232</v>
      </c>
      <c r="N191" s="4" t="s">
        <v>210</v>
      </c>
      <c r="O191" s="4" t="b">
        <v>1</v>
      </c>
      <c r="P191" s="4" t="b">
        <v>0</v>
      </c>
      <c r="Q191" s="4" t="b">
        <v>0</v>
      </c>
      <c r="R191" s="4" t="b">
        <v>0</v>
      </c>
      <c r="S191" s="4" t="b">
        <v>0</v>
      </c>
      <c r="T191" s="4" t="b">
        <v>0</v>
      </c>
      <c r="U191" s="4" t="b">
        <v>0</v>
      </c>
      <c r="V191" s="4" t="b">
        <v>0</v>
      </c>
      <c r="W191" s="4" t="b">
        <v>0</v>
      </c>
      <c r="X191" s="4" t="b">
        <v>1</v>
      </c>
      <c r="Y191" s="4" t="b">
        <v>1</v>
      </c>
    </row>
    <row r="192" spans="1:37">
      <c r="A192" s="4" t="s">
        <v>89</v>
      </c>
      <c r="B192" s="4" t="s">
        <v>88</v>
      </c>
      <c r="C192" s="4" t="s">
        <v>90</v>
      </c>
      <c r="F192" s="5">
        <v>42065.873136574075</v>
      </c>
      <c r="G192" s="4" t="s">
        <v>19</v>
      </c>
      <c r="H192" s="4">
        <v>39</v>
      </c>
      <c r="I192" s="4">
        <v>139.40091000000001</v>
      </c>
      <c r="J192" s="4">
        <v>35.584330000000001</v>
      </c>
      <c r="K192" s="4" t="s">
        <v>232</v>
      </c>
      <c r="N192" s="4" t="s">
        <v>211</v>
      </c>
      <c r="O192" s="4" t="b">
        <v>1</v>
      </c>
      <c r="P192" s="4" t="b">
        <v>0</v>
      </c>
      <c r="Q192" s="4" t="b">
        <v>0</v>
      </c>
      <c r="R192" s="4" t="b">
        <v>0</v>
      </c>
      <c r="S192" s="4" t="b">
        <v>0</v>
      </c>
      <c r="T192" s="4" t="b">
        <v>0</v>
      </c>
      <c r="U192" s="4" t="b">
        <v>0</v>
      </c>
      <c r="V192" s="4" t="b">
        <v>0</v>
      </c>
      <c r="W192" s="4" t="b">
        <v>0</v>
      </c>
      <c r="X192" s="4" t="b">
        <v>1</v>
      </c>
      <c r="Y192" s="4" t="b">
        <v>1</v>
      </c>
    </row>
    <row r="193" spans="1:38">
      <c r="A193" s="4" t="s">
        <v>89</v>
      </c>
      <c r="B193" s="4" t="s">
        <v>88</v>
      </c>
      <c r="C193" s="4" t="s">
        <v>90</v>
      </c>
      <c r="F193" s="5">
        <v>42065.873217743057</v>
      </c>
      <c r="G193" s="4" t="s">
        <v>59</v>
      </c>
      <c r="AC193" s="4" t="s">
        <v>165</v>
      </c>
      <c r="AD193" s="4" t="s">
        <v>164</v>
      </c>
      <c r="AE193" s="4" t="s">
        <v>18</v>
      </c>
      <c r="AF193" s="4" t="s">
        <v>94</v>
      </c>
      <c r="AI193" s="4">
        <v>1670.75</v>
      </c>
      <c r="AJ193" s="4" t="s">
        <v>163</v>
      </c>
      <c r="AK193" s="4" t="s">
        <v>162</v>
      </c>
    </row>
    <row r="194" spans="1:38">
      <c r="A194" s="4" t="s">
        <v>89</v>
      </c>
      <c r="B194" s="4" t="s">
        <v>88</v>
      </c>
      <c r="C194" s="4" t="s">
        <v>90</v>
      </c>
      <c r="F194" s="5">
        <v>42065.873240740744</v>
      </c>
      <c r="G194" s="4" t="s">
        <v>19</v>
      </c>
      <c r="H194" s="4">
        <v>52</v>
      </c>
      <c r="I194" s="4">
        <v>139.3997</v>
      </c>
      <c r="J194" s="4">
        <v>35.584719999999997</v>
      </c>
      <c r="K194" s="4" t="s">
        <v>232</v>
      </c>
      <c r="N194" s="4" t="s">
        <v>210</v>
      </c>
      <c r="O194" s="4" t="b">
        <v>1</v>
      </c>
      <c r="P194" s="4" t="b">
        <v>0</v>
      </c>
      <c r="Q194" s="4" t="b">
        <v>0</v>
      </c>
      <c r="R194" s="4" t="b">
        <v>0</v>
      </c>
      <c r="S194" s="4" t="b">
        <v>0</v>
      </c>
      <c r="T194" s="4" t="b">
        <v>0</v>
      </c>
      <c r="U194" s="4" t="b">
        <v>0</v>
      </c>
      <c r="V194" s="4" t="b">
        <v>0</v>
      </c>
      <c r="W194" s="4" t="b">
        <v>0</v>
      </c>
      <c r="X194" s="4" t="b">
        <v>1</v>
      </c>
      <c r="Y194" s="4" t="b">
        <v>1</v>
      </c>
    </row>
    <row r="195" spans="1:38">
      <c r="A195" s="4" t="s">
        <v>89</v>
      </c>
      <c r="B195" s="4" t="s">
        <v>88</v>
      </c>
      <c r="C195" s="4" t="s">
        <v>90</v>
      </c>
      <c r="F195" s="5">
        <v>42065.873553240737</v>
      </c>
      <c r="G195" s="4" t="s">
        <v>19</v>
      </c>
      <c r="H195" s="4">
        <v>37</v>
      </c>
      <c r="I195" s="4">
        <v>139.39609999999999</v>
      </c>
      <c r="J195" s="4">
        <v>35.585590000000003</v>
      </c>
      <c r="K195" s="4" t="s">
        <v>232</v>
      </c>
      <c r="N195" s="4" t="s">
        <v>211</v>
      </c>
      <c r="O195" s="4" t="b">
        <v>1</v>
      </c>
      <c r="P195" s="4" t="b">
        <v>0</v>
      </c>
      <c r="Q195" s="4" t="b">
        <v>0</v>
      </c>
      <c r="R195" s="4" t="b">
        <v>0</v>
      </c>
      <c r="S195" s="4" t="b">
        <v>0</v>
      </c>
      <c r="T195" s="4" t="b">
        <v>0</v>
      </c>
      <c r="U195" s="4" t="b">
        <v>0</v>
      </c>
      <c r="V195" s="4" t="b">
        <v>0</v>
      </c>
      <c r="W195" s="4" t="b">
        <v>0</v>
      </c>
      <c r="X195" s="4" t="b">
        <v>1</v>
      </c>
      <c r="Y195" s="4" t="b">
        <v>1</v>
      </c>
    </row>
    <row r="196" spans="1:38">
      <c r="A196" s="4" t="s">
        <v>89</v>
      </c>
      <c r="B196" s="4" t="s">
        <v>88</v>
      </c>
      <c r="C196" s="4" t="s">
        <v>90</v>
      </c>
      <c r="F196" s="5">
        <v>42065.873692129629</v>
      </c>
      <c r="G196" s="4" t="s">
        <v>19</v>
      </c>
      <c r="H196" s="4">
        <v>0</v>
      </c>
      <c r="I196" s="4">
        <v>139.39546000000001</v>
      </c>
      <c r="J196" s="4">
        <v>35.585720000000002</v>
      </c>
      <c r="K196" s="4" t="s">
        <v>232</v>
      </c>
      <c r="N196" s="4" t="s">
        <v>195</v>
      </c>
      <c r="O196" s="4" t="b">
        <v>1</v>
      </c>
      <c r="P196" s="4" t="b">
        <v>0</v>
      </c>
      <c r="Q196" s="4" t="b">
        <v>0</v>
      </c>
      <c r="R196" s="4" t="b">
        <v>0</v>
      </c>
      <c r="S196" s="4" t="b">
        <v>0</v>
      </c>
      <c r="T196" s="4" t="b">
        <v>0</v>
      </c>
      <c r="U196" s="4" t="b">
        <v>0</v>
      </c>
      <c r="V196" s="4" t="b">
        <v>0</v>
      </c>
      <c r="W196" s="4" t="b">
        <v>0</v>
      </c>
      <c r="X196" s="4" t="b">
        <v>1</v>
      </c>
      <c r="Y196" s="4" t="b">
        <v>1</v>
      </c>
    </row>
    <row r="197" spans="1:38">
      <c r="A197" s="4" t="s">
        <v>89</v>
      </c>
      <c r="B197" s="4" t="s">
        <v>88</v>
      </c>
      <c r="C197" s="4" t="s">
        <v>90</v>
      </c>
      <c r="F197" s="5">
        <v>42065.873715277776</v>
      </c>
      <c r="G197" s="4" t="s">
        <v>19</v>
      </c>
      <c r="H197" s="4">
        <v>0</v>
      </c>
      <c r="I197" s="4">
        <v>139.39546000000001</v>
      </c>
      <c r="J197" s="4">
        <v>35.585720000000002</v>
      </c>
      <c r="K197" s="4" t="s">
        <v>232</v>
      </c>
      <c r="N197" s="4" t="s">
        <v>224</v>
      </c>
      <c r="O197" s="4" t="b">
        <v>1</v>
      </c>
      <c r="P197" s="4" t="b">
        <v>0</v>
      </c>
      <c r="Q197" s="4" t="b">
        <v>0</v>
      </c>
      <c r="R197" s="4" t="b">
        <v>0</v>
      </c>
      <c r="S197" s="4" t="b">
        <v>0</v>
      </c>
      <c r="T197" s="4" t="b">
        <v>0</v>
      </c>
      <c r="U197" s="4" t="b">
        <v>0</v>
      </c>
      <c r="V197" s="4" t="b">
        <v>0</v>
      </c>
      <c r="W197" s="4" t="b">
        <v>0</v>
      </c>
      <c r="X197" s="4" t="b">
        <v>1</v>
      </c>
      <c r="Y197" s="4" t="b">
        <v>1</v>
      </c>
    </row>
    <row r="198" spans="1:38">
      <c r="A198" s="4" t="s">
        <v>89</v>
      </c>
      <c r="B198" s="4" t="s">
        <v>88</v>
      </c>
      <c r="C198" s="4" t="s">
        <v>90</v>
      </c>
      <c r="F198" s="5">
        <v>42065.873807870368</v>
      </c>
      <c r="G198" s="4" t="s">
        <v>19</v>
      </c>
      <c r="H198" s="4">
        <v>2</v>
      </c>
      <c r="I198" s="4">
        <v>139.39543</v>
      </c>
      <c r="J198" s="4">
        <v>35.585740000000001</v>
      </c>
      <c r="K198" s="4" t="s">
        <v>232</v>
      </c>
      <c r="N198" s="4" t="s">
        <v>195</v>
      </c>
      <c r="O198" s="4" t="b">
        <v>1</v>
      </c>
      <c r="P198" s="4" t="b">
        <v>0</v>
      </c>
      <c r="Q198" s="4" t="b">
        <v>0</v>
      </c>
      <c r="R198" s="4" t="b">
        <v>0</v>
      </c>
      <c r="S198" s="4" t="b">
        <v>0</v>
      </c>
      <c r="T198" s="4" t="b">
        <v>0</v>
      </c>
      <c r="U198" s="4" t="b">
        <v>0</v>
      </c>
      <c r="V198" s="4" t="b">
        <v>0</v>
      </c>
      <c r="W198" s="4" t="b">
        <v>0</v>
      </c>
      <c r="X198" s="4" t="b">
        <v>1</v>
      </c>
      <c r="Y198" s="4" t="b">
        <v>1</v>
      </c>
    </row>
    <row r="199" spans="1:38">
      <c r="A199" s="4" t="s">
        <v>89</v>
      </c>
      <c r="B199" s="4" t="s">
        <v>88</v>
      </c>
      <c r="C199" s="4" t="s">
        <v>90</v>
      </c>
      <c r="F199" s="5">
        <v>42065.873865891204</v>
      </c>
      <c r="G199" s="4" t="s">
        <v>59</v>
      </c>
      <c r="AC199" s="4" t="s">
        <v>165</v>
      </c>
      <c r="AD199" s="4" t="s">
        <v>164</v>
      </c>
      <c r="AE199" s="4" t="s">
        <v>18</v>
      </c>
      <c r="AF199" s="4" t="s">
        <v>94</v>
      </c>
      <c r="AI199" s="4">
        <v>1563.5</v>
      </c>
      <c r="AJ199" s="4" t="s">
        <v>163</v>
      </c>
      <c r="AK199" s="4" t="s">
        <v>162</v>
      </c>
    </row>
    <row r="200" spans="1:38">
      <c r="A200" s="4" t="s">
        <v>89</v>
      </c>
      <c r="B200" s="4" t="s">
        <v>88</v>
      </c>
      <c r="C200" s="4" t="s">
        <v>90</v>
      </c>
      <c r="F200" s="5">
        <v>42065.873923611114</v>
      </c>
      <c r="G200" s="4" t="s">
        <v>19</v>
      </c>
      <c r="H200" s="4">
        <v>26</v>
      </c>
      <c r="I200" s="4">
        <v>139.39505</v>
      </c>
      <c r="J200" s="4">
        <v>35.585819999999998</v>
      </c>
      <c r="K200" s="4" t="s">
        <v>233</v>
      </c>
      <c r="N200" s="4" t="s">
        <v>211</v>
      </c>
      <c r="O200" s="4" t="b">
        <v>1</v>
      </c>
      <c r="P200" s="4" t="b">
        <v>0</v>
      </c>
      <c r="Q200" s="4" t="b">
        <v>0</v>
      </c>
      <c r="R200" s="4" t="b">
        <v>0</v>
      </c>
      <c r="S200" s="4" t="b">
        <v>0</v>
      </c>
      <c r="T200" s="4" t="b">
        <v>0</v>
      </c>
      <c r="U200" s="4" t="b">
        <v>0</v>
      </c>
      <c r="V200" s="4" t="b">
        <v>0</v>
      </c>
      <c r="W200" s="4" t="b">
        <v>0</v>
      </c>
      <c r="X200" s="4" t="b">
        <v>1</v>
      </c>
      <c r="Y200" s="4" t="b">
        <v>1</v>
      </c>
    </row>
    <row r="201" spans="1:38">
      <c r="A201" s="4" t="s">
        <v>89</v>
      </c>
      <c r="B201" s="4" t="s">
        <v>88</v>
      </c>
      <c r="C201" s="4" t="s">
        <v>90</v>
      </c>
      <c r="F201" s="5">
        <v>42065.873946990738</v>
      </c>
      <c r="G201" s="4" t="s">
        <v>59</v>
      </c>
      <c r="AC201" s="4" t="s">
        <v>165</v>
      </c>
      <c r="AD201" s="4" t="s">
        <v>164</v>
      </c>
      <c r="AE201" s="4" t="s">
        <v>18</v>
      </c>
      <c r="AF201" s="4" t="s">
        <v>94</v>
      </c>
      <c r="AI201" s="4">
        <v>924.5</v>
      </c>
      <c r="AJ201" s="4" t="s">
        <v>163</v>
      </c>
      <c r="AK201" s="4" t="s">
        <v>162</v>
      </c>
    </row>
    <row r="202" spans="1:38">
      <c r="A202" s="4" t="s">
        <v>89</v>
      </c>
      <c r="B202" s="4" t="s">
        <v>88</v>
      </c>
      <c r="C202" s="4" t="s">
        <v>90</v>
      </c>
      <c r="F202" s="5">
        <v>42065.87395833333</v>
      </c>
      <c r="G202" s="4" t="s">
        <v>59</v>
      </c>
      <c r="AC202" s="4" t="s">
        <v>235</v>
      </c>
      <c r="AD202" s="4" t="s">
        <v>234</v>
      </c>
      <c r="AE202" s="4" t="s">
        <v>18</v>
      </c>
      <c r="AF202" s="4" t="s">
        <v>94</v>
      </c>
      <c r="AI202" s="4">
        <v>1</v>
      </c>
      <c r="AJ202" s="4" t="s">
        <v>18</v>
      </c>
      <c r="AK202" s="4" t="s">
        <v>91</v>
      </c>
    </row>
    <row r="203" spans="1:38">
      <c r="A203" s="4" t="s">
        <v>89</v>
      </c>
      <c r="B203" s="4" t="s">
        <v>88</v>
      </c>
      <c r="C203" s="4" t="s">
        <v>90</v>
      </c>
      <c r="F203" s="5">
        <v>42065.873981481483</v>
      </c>
      <c r="G203" s="4" t="s">
        <v>19</v>
      </c>
      <c r="H203" s="4">
        <v>4</v>
      </c>
      <c r="I203" s="4">
        <v>139.39487</v>
      </c>
      <c r="J203" s="4">
        <v>35.585839999999997</v>
      </c>
      <c r="K203" s="4" t="s">
        <v>232</v>
      </c>
      <c r="N203" s="4" t="s">
        <v>211</v>
      </c>
      <c r="O203" s="4" t="b">
        <v>1</v>
      </c>
      <c r="P203" s="4" t="b">
        <v>0</v>
      </c>
      <c r="Q203" s="4" t="b">
        <v>0</v>
      </c>
      <c r="R203" s="4" t="b">
        <v>0</v>
      </c>
      <c r="S203" s="4" t="b">
        <v>0</v>
      </c>
      <c r="T203" s="4" t="b">
        <v>0</v>
      </c>
      <c r="U203" s="4" t="b">
        <v>0</v>
      </c>
      <c r="V203" s="4" t="b">
        <v>0</v>
      </c>
      <c r="W203" s="4" t="b">
        <v>0</v>
      </c>
      <c r="X203" s="4" t="b">
        <v>1</v>
      </c>
      <c r="Y203" s="4" t="b">
        <v>1</v>
      </c>
    </row>
    <row r="204" spans="1:38">
      <c r="A204" s="4" t="s">
        <v>89</v>
      </c>
      <c r="B204" s="4" t="s">
        <v>88</v>
      </c>
      <c r="C204" s="4" t="s">
        <v>90</v>
      </c>
      <c r="F204" s="5">
        <v>42065.874074074076</v>
      </c>
      <c r="G204" s="4" t="s">
        <v>19</v>
      </c>
      <c r="H204" s="4">
        <v>0</v>
      </c>
      <c r="I204" s="4">
        <v>139.39483999999999</v>
      </c>
      <c r="J204" s="4">
        <v>35.585819999999998</v>
      </c>
      <c r="K204" s="4" t="s">
        <v>232</v>
      </c>
      <c r="N204" s="4" t="s">
        <v>195</v>
      </c>
      <c r="O204" s="4" t="b">
        <v>1</v>
      </c>
      <c r="P204" s="4" t="b">
        <v>0</v>
      </c>
      <c r="Q204" s="4" t="b">
        <v>0</v>
      </c>
      <c r="R204" s="4" t="b">
        <v>0</v>
      </c>
      <c r="S204" s="4" t="b">
        <v>0</v>
      </c>
      <c r="T204" s="4" t="b">
        <v>0</v>
      </c>
      <c r="U204" s="4" t="b">
        <v>0</v>
      </c>
      <c r="V204" s="4" t="b">
        <v>0</v>
      </c>
      <c r="W204" s="4" t="b">
        <v>0</v>
      </c>
      <c r="X204" s="4" t="b">
        <v>1</v>
      </c>
      <c r="Y204" s="4" t="b">
        <v>1</v>
      </c>
    </row>
    <row r="205" spans="1:38">
      <c r="A205" s="4" t="s">
        <v>89</v>
      </c>
      <c r="B205" s="4" t="s">
        <v>88</v>
      </c>
      <c r="C205" s="4" t="s">
        <v>90</v>
      </c>
      <c r="F205" s="5">
        <v>42065.874554594906</v>
      </c>
      <c r="G205" s="4" t="s">
        <v>98</v>
      </c>
      <c r="N205" s="4" t="s">
        <v>236</v>
      </c>
      <c r="AL205" s="4" t="s">
        <v>237</v>
      </c>
    </row>
    <row r="206" spans="1:38">
      <c r="A206" s="4" t="s">
        <v>89</v>
      </c>
      <c r="B206" s="4" t="s">
        <v>88</v>
      </c>
      <c r="C206" s="4" t="s">
        <v>90</v>
      </c>
      <c r="F206" s="5">
        <v>42065.874566238424</v>
      </c>
      <c r="G206" s="4" t="s">
        <v>98</v>
      </c>
      <c r="N206" s="4" t="s">
        <v>238</v>
      </c>
      <c r="AL206" s="4" t="s">
        <v>239</v>
      </c>
    </row>
    <row r="207" spans="1:38">
      <c r="A207" s="4" t="s">
        <v>89</v>
      </c>
      <c r="B207" s="4" t="s">
        <v>88</v>
      </c>
      <c r="C207" s="4" t="s">
        <v>90</v>
      </c>
      <c r="F207" s="5">
        <v>42065.874572881941</v>
      </c>
      <c r="G207" s="4" t="s">
        <v>98</v>
      </c>
      <c r="N207" s="4" t="s">
        <v>240</v>
      </c>
      <c r="AL207" s="4" t="s">
        <v>241</v>
      </c>
    </row>
    <row r="208" spans="1:38">
      <c r="A208" s="4" t="s">
        <v>89</v>
      </c>
      <c r="B208" s="4" t="s">
        <v>88</v>
      </c>
      <c r="C208" s="4" t="s">
        <v>90</v>
      </c>
      <c r="F208" s="5">
        <v>42065.874584178244</v>
      </c>
      <c r="G208" s="4" t="s">
        <v>98</v>
      </c>
      <c r="N208" s="4" t="s">
        <v>236</v>
      </c>
      <c r="AL208" s="4" t="s">
        <v>242</v>
      </c>
    </row>
    <row r="209" spans="1:38">
      <c r="A209" s="4" t="s">
        <v>89</v>
      </c>
      <c r="B209" s="4" t="s">
        <v>88</v>
      </c>
      <c r="C209" s="4" t="s">
        <v>90</v>
      </c>
      <c r="F209" s="5">
        <v>42065.874589270832</v>
      </c>
      <c r="G209" s="4" t="s">
        <v>98</v>
      </c>
      <c r="N209" s="4" t="s">
        <v>240</v>
      </c>
      <c r="AL209" s="4" t="s">
        <v>243</v>
      </c>
    </row>
    <row r="210" spans="1:38">
      <c r="A210" s="4" t="s">
        <v>89</v>
      </c>
      <c r="B210" s="4" t="s">
        <v>88</v>
      </c>
      <c r="C210" s="4" t="s">
        <v>90</v>
      </c>
      <c r="F210" s="5">
        <v>42065.874710648146</v>
      </c>
      <c r="G210" s="4" t="s">
        <v>19</v>
      </c>
      <c r="H210" s="4">
        <v>2</v>
      </c>
      <c r="I210" s="4">
        <v>139.39482000000001</v>
      </c>
      <c r="J210" s="4">
        <v>35.585900000000002</v>
      </c>
      <c r="K210" s="4" t="s">
        <v>232</v>
      </c>
      <c r="N210" s="4" t="s">
        <v>195</v>
      </c>
      <c r="O210" s="4" t="b">
        <v>1</v>
      </c>
      <c r="P210" s="4" t="b">
        <v>0</v>
      </c>
      <c r="Q210" s="4" t="b">
        <v>0</v>
      </c>
      <c r="R210" s="4" t="b">
        <v>0</v>
      </c>
      <c r="S210" s="4" t="b">
        <v>0</v>
      </c>
      <c r="T210" s="4" t="b">
        <v>0</v>
      </c>
      <c r="U210" s="4" t="b">
        <v>0</v>
      </c>
      <c r="V210" s="4" t="b">
        <v>0</v>
      </c>
      <c r="W210" s="4" t="b">
        <v>0</v>
      </c>
      <c r="X210" s="4" t="b">
        <v>1</v>
      </c>
      <c r="Y210" s="4" t="b">
        <v>1</v>
      </c>
    </row>
    <row r="211" spans="1:38">
      <c r="A211" s="4" t="s">
        <v>89</v>
      </c>
      <c r="B211" s="4" t="s">
        <v>88</v>
      </c>
      <c r="C211" s="4" t="s">
        <v>90</v>
      </c>
      <c r="F211" s="5">
        <v>42065.874745370369</v>
      </c>
      <c r="G211" s="4" t="s">
        <v>19</v>
      </c>
      <c r="H211" s="4">
        <v>0</v>
      </c>
      <c r="I211" s="4">
        <v>139.39482000000001</v>
      </c>
      <c r="J211" s="4">
        <v>35.58587</v>
      </c>
      <c r="K211" s="4" t="s">
        <v>232</v>
      </c>
      <c r="N211" s="4" t="s">
        <v>195</v>
      </c>
      <c r="O211" s="4" t="b">
        <v>1</v>
      </c>
      <c r="P211" s="4" t="b">
        <v>0</v>
      </c>
      <c r="Q211" s="4" t="b">
        <v>0</v>
      </c>
      <c r="R211" s="4" t="b">
        <v>0</v>
      </c>
      <c r="S211" s="4" t="b">
        <v>0</v>
      </c>
      <c r="T211" s="4" t="b">
        <v>0</v>
      </c>
      <c r="U211" s="4" t="b">
        <v>0</v>
      </c>
      <c r="V211" s="4" t="b">
        <v>0</v>
      </c>
      <c r="W211" s="4" t="b">
        <v>0</v>
      </c>
      <c r="X211" s="4" t="b">
        <v>1</v>
      </c>
      <c r="Y211" s="4" t="b">
        <v>1</v>
      </c>
    </row>
    <row r="212" spans="1:38">
      <c r="A212" s="4" t="s">
        <v>89</v>
      </c>
      <c r="B212" s="4" t="s">
        <v>88</v>
      </c>
      <c r="C212" s="4" t="s">
        <v>90</v>
      </c>
      <c r="F212" s="5">
        <v>42065.874756944446</v>
      </c>
      <c r="G212" s="4" t="s">
        <v>19</v>
      </c>
      <c r="H212" s="4">
        <v>1</v>
      </c>
      <c r="I212" s="4">
        <v>139.39482000000001</v>
      </c>
      <c r="J212" s="4">
        <v>35.58587</v>
      </c>
      <c r="K212" s="4" t="s">
        <v>232</v>
      </c>
      <c r="N212" s="4" t="s">
        <v>195</v>
      </c>
      <c r="O212" s="4" t="b">
        <v>1</v>
      </c>
      <c r="P212" s="4" t="b">
        <v>0</v>
      </c>
      <c r="Q212" s="4" t="b">
        <v>0</v>
      </c>
      <c r="R212" s="4" t="b">
        <v>0</v>
      </c>
      <c r="S212" s="4" t="b">
        <v>0</v>
      </c>
      <c r="T212" s="4" t="b">
        <v>0</v>
      </c>
      <c r="U212" s="4" t="b">
        <v>0</v>
      </c>
      <c r="V212" s="4" t="b">
        <v>0</v>
      </c>
      <c r="W212" s="4" t="b">
        <v>0</v>
      </c>
      <c r="X212" s="4" t="b">
        <v>1</v>
      </c>
      <c r="Y212" s="4" t="b">
        <v>1</v>
      </c>
    </row>
    <row r="213" spans="1:38">
      <c r="A213" s="4" t="s">
        <v>89</v>
      </c>
      <c r="B213" s="4" t="s">
        <v>88</v>
      </c>
      <c r="C213" s="4" t="s">
        <v>90</v>
      </c>
      <c r="F213" s="5">
        <v>42065.874768518515</v>
      </c>
      <c r="G213" s="4" t="s">
        <v>19</v>
      </c>
      <c r="H213" s="4">
        <v>0</v>
      </c>
      <c r="I213" s="4">
        <v>139.39482000000001</v>
      </c>
      <c r="J213" s="4">
        <v>35.585900000000002</v>
      </c>
      <c r="K213" s="4" t="s">
        <v>232</v>
      </c>
      <c r="N213" s="4" t="s">
        <v>195</v>
      </c>
      <c r="O213" s="4" t="b">
        <v>1</v>
      </c>
      <c r="P213" s="4" t="b">
        <v>0</v>
      </c>
      <c r="Q213" s="4" t="b">
        <v>0</v>
      </c>
      <c r="R213" s="4" t="b">
        <v>0</v>
      </c>
      <c r="S213" s="4" t="b">
        <v>0</v>
      </c>
      <c r="T213" s="4" t="b">
        <v>0</v>
      </c>
      <c r="U213" s="4" t="b">
        <v>0</v>
      </c>
      <c r="V213" s="4" t="b">
        <v>0</v>
      </c>
      <c r="W213" s="4" t="b">
        <v>0</v>
      </c>
      <c r="X213" s="4" t="b">
        <v>1</v>
      </c>
      <c r="Y213" s="4" t="b">
        <v>1</v>
      </c>
    </row>
    <row r="214" spans="1:38">
      <c r="A214" s="4" t="s">
        <v>89</v>
      </c>
      <c r="B214" s="4" t="s">
        <v>88</v>
      </c>
      <c r="C214" s="4" t="s">
        <v>90</v>
      </c>
      <c r="F214" s="5">
        <v>42065.874780092592</v>
      </c>
      <c r="G214" s="4" t="s">
        <v>19</v>
      </c>
      <c r="H214" s="4">
        <v>1</v>
      </c>
      <c r="I214" s="4">
        <v>139.39482000000001</v>
      </c>
      <c r="J214" s="4">
        <v>35.585900000000002</v>
      </c>
      <c r="K214" s="4" t="s">
        <v>232</v>
      </c>
      <c r="N214" s="4" t="s">
        <v>195</v>
      </c>
      <c r="O214" s="4" t="b">
        <v>1</v>
      </c>
      <c r="P214" s="4" t="b">
        <v>0</v>
      </c>
      <c r="Q214" s="4" t="b">
        <v>0</v>
      </c>
      <c r="R214" s="4" t="b">
        <v>0</v>
      </c>
      <c r="S214" s="4" t="b">
        <v>0</v>
      </c>
      <c r="T214" s="4" t="b">
        <v>0</v>
      </c>
      <c r="U214" s="4" t="b">
        <v>0</v>
      </c>
      <c r="V214" s="4" t="b">
        <v>0</v>
      </c>
      <c r="W214" s="4" t="b">
        <v>0</v>
      </c>
      <c r="X214" s="4" t="b">
        <v>1</v>
      </c>
      <c r="Y214" s="4" t="b">
        <v>1</v>
      </c>
    </row>
    <row r="215" spans="1:38">
      <c r="A215" s="4" t="s">
        <v>89</v>
      </c>
      <c r="B215" s="4" t="s">
        <v>88</v>
      </c>
      <c r="C215" s="4" t="s">
        <v>90</v>
      </c>
      <c r="F215" s="5">
        <v>42065.874791666669</v>
      </c>
      <c r="G215" s="4" t="s">
        <v>19</v>
      </c>
      <c r="H215" s="4">
        <v>0</v>
      </c>
      <c r="I215" s="4">
        <v>139.39482000000001</v>
      </c>
      <c r="J215" s="4">
        <v>35.585900000000002</v>
      </c>
      <c r="K215" s="4" t="s">
        <v>232</v>
      </c>
      <c r="N215" s="4" t="s">
        <v>195</v>
      </c>
      <c r="O215" s="4" t="b">
        <v>1</v>
      </c>
      <c r="P215" s="4" t="b">
        <v>0</v>
      </c>
      <c r="Q215" s="4" t="b">
        <v>0</v>
      </c>
      <c r="R215" s="4" t="b">
        <v>0</v>
      </c>
      <c r="S215" s="4" t="b">
        <v>0</v>
      </c>
      <c r="T215" s="4" t="b">
        <v>0</v>
      </c>
      <c r="U215" s="4" t="b">
        <v>0</v>
      </c>
      <c r="V215" s="4" t="b">
        <v>0</v>
      </c>
      <c r="W215" s="4" t="b">
        <v>0</v>
      </c>
      <c r="X215" s="4" t="b">
        <v>1</v>
      </c>
      <c r="Y215" s="4" t="b">
        <v>1</v>
      </c>
    </row>
    <row r="216" spans="1:38">
      <c r="A216" s="4" t="s">
        <v>89</v>
      </c>
      <c r="B216" s="4" t="s">
        <v>88</v>
      </c>
      <c r="C216" s="4" t="s">
        <v>90</v>
      </c>
      <c r="F216" s="5">
        <v>42065.874861111108</v>
      </c>
      <c r="G216" s="4" t="s">
        <v>19</v>
      </c>
      <c r="H216" s="4">
        <v>0</v>
      </c>
      <c r="I216" s="4">
        <v>139.39482000000001</v>
      </c>
      <c r="J216" s="4">
        <v>35.58587</v>
      </c>
      <c r="K216" s="4" t="s">
        <v>232</v>
      </c>
      <c r="N216" s="4" t="s">
        <v>224</v>
      </c>
      <c r="O216" s="4" t="b">
        <v>1</v>
      </c>
      <c r="P216" s="4" t="b">
        <v>0</v>
      </c>
      <c r="Q216" s="4" t="b">
        <v>0</v>
      </c>
      <c r="R216" s="4" t="b">
        <v>0</v>
      </c>
      <c r="S216" s="4" t="b">
        <v>0</v>
      </c>
      <c r="T216" s="4" t="b">
        <v>0</v>
      </c>
      <c r="U216" s="4" t="b">
        <v>0</v>
      </c>
      <c r="V216" s="4" t="b">
        <v>0</v>
      </c>
      <c r="W216" s="4" t="b">
        <v>0</v>
      </c>
      <c r="X216" s="4" t="b">
        <v>1</v>
      </c>
      <c r="Y216" s="4" t="b">
        <v>1</v>
      </c>
    </row>
    <row r="217" spans="1:38">
      <c r="A217" s="4" t="s">
        <v>89</v>
      </c>
      <c r="B217" s="4" t="s">
        <v>88</v>
      </c>
      <c r="C217" s="4" t="s">
        <v>90</v>
      </c>
      <c r="F217" s="5">
        <v>42065.874919942129</v>
      </c>
      <c r="G217" s="4" t="s">
        <v>98</v>
      </c>
      <c r="N217" s="4" t="s">
        <v>236</v>
      </c>
      <c r="AL217" s="4" t="s">
        <v>244</v>
      </c>
    </row>
    <row r="218" spans="1:38">
      <c r="A218" s="4" t="s">
        <v>89</v>
      </c>
      <c r="B218" s="4" t="s">
        <v>88</v>
      </c>
      <c r="C218" s="4" t="s">
        <v>90</v>
      </c>
      <c r="F218" s="5">
        <v>42065.874931365739</v>
      </c>
      <c r="G218" s="4" t="s">
        <v>98</v>
      </c>
      <c r="N218" s="4" t="s">
        <v>240</v>
      </c>
      <c r="AL218" s="4" t="s">
        <v>245</v>
      </c>
    </row>
    <row r="219" spans="1:38">
      <c r="A219" s="4" t="s">
        <v>89</v>
      </c>
      <c r="B219" s="4" t="s">
        <v>88</v>
      </c>
      <c r="C219" s="4" t="s">
        <v>90</v>
      </c>
      <c r="F219" s="5">
        <v>42065.875012349534</v>
      </c>
      <c r="G219" s="4" t="s">
        <v>98</v>
      </c>
      <c r="N219" s="4" t="s">
        <v>236</v>
      </c>
      <c r="AL219" s="4" t="s">
        <v>246</v>
      </c>
    </row>
    <row r="220" spans="1:38">
      <c r="A220" s="4" t="s">
        <v>89</v>
      </c>
      <c r="B220" s="4" t="s">
        <v>88</v>
      </c>
      <c r="C220" s="4" t="s">
        <v>90</v>
      </c>
      <c r="F220" s="5">
        <v>42065.875023877314</v>
      </c>
      <c r="G220" s="4" t="s">
        <v>98</v>
      </c>
      <c r="N220" s="4" t="s">
        <v>240</v>
      </c>
      <c r="AL220" s="4" t="s">
        <v>247</v>
      </c>
    </row>
    <row r="221" spans="1:38">
      <c r="A221" s="4" t="s">
        <v>89</v>
      </c>
      <c r="B221" s="4" t="s">
        <v>88</v>
      </c>
      <c r="C221" s="4" t="s">
        <v>90</v>
      </c>
      <c r="F221" s="5">
        <v>42065.875058599537</v>
      </c>
      <c r="G221" s="4" t="s">
        <v>98</v>
      </c>
      <c r="N221" s="4" t="s">
        <v>236</v>
      </c>
      <c r="AL221" s="4" t="s">
        <v>248</v>
      </c>
    </row>
    <row r="222" spans="1:38">
      <c r="A222" s="4" t="s">
        <v>89</v>
      </c>
      <c r="B222" s="4" t="s">
        <v>88</v>
      </c>
      <c r="C222" s="4" t="s">
        <v>90</v>
      </c>
      <c r="F222" s="5">
        <v>42065.875063807871</v>
      </c>
      <c r="G222" s="4" t="s">
        <v>98</v>
      </c>
      <c r="N222" s="4" t="s">
        <v>240</v>
      </c>
      <c r="AL222" s="4" t="s">
        <v>249</v>
      </c>
    </row>
    <row r="223" spans="1:38">
      <c r="A223" s="4" t="s">
        <v>89</v>
      </c>
      <c r="B223" s="4" t="s">
        <v>88</v>
      </c>
      <c r="C223" s="4" t="s">
        <v>90</v>
      </c>
      <c r="F223" s="5">
        <v>42065.875093402778</v>
      </c>
      <c r="G223" s="4" t="s">
        <v>98</v>
      </c>
      <c r="N223" s="4" t="s">
        <v>236</v>
      </c>
      <c r="AL223" s="4" t="s">
        <v>250</v>
      </c>
    </row>
    <row r="224" spans="1:38">
      <c r="A224" s="4" t="s">
        <v>89</v>
      </c>
      <c r="B224" s="4" t="s">
        <v>88</v>
      </c>
      <c r="C224" s="4" t="s">
        <v>90</v>
      </c>
      <c r="F224" s="5">
        <v>42065.875105127314</v>
      </c>
      <c r="G224" s="4" t="s">
        <v>98</v>
      </c>
      <c r="N224" s="4" t="s">
        <v>251</v>
      </c>
      <c r="AL224" s="4" t="s">
        <v>252</v>
      </c>
    </row>
    <row r="225" spans="1:38">
      <c r="A225" s="4" t="s">
        <v>89</v>
      </c>
      <c r="B225" s="4" t="s">
        <v>88</v>
      </c>
      <c r="C225" s="4" t="s">
        <v>90</v>
      </c>
      <c r="F225" s="5">
        <v>42065.875115740739</v>
      </c>
      <c r="G225" s="4" t="s">
        <v>19</v>
      </c>
      <c r="H225" s="4">
        <v>1</v>
      </c>
      <c r="I225" s="4">
        <v>139.39482000000001</v>
      </c>
      <c r="J225" s="4">
        <v>35.585839999999997</v>
      </c>
      <c r="K225" s="4" t="s">
        <v>232</v>
      </c>
      <c r="N225" s="4" t="s">
        <v>195</v>
      </c>
      <c r="O225" s="4" t="b">
        <v>1</v>
      </c>
      <c r="P225" s="4" t="b">
        <v>0</v>
      </c>
      <c r="Q225" s="4" t="b">
        <v>0</v>
      </c>
      <c r="R225" s="4" t="b">
        <v>0</v>
      </c>
      <c r="S225" s="4" t="b">
        <v>0</v>
      </c>
      <c r="T225" s="4" t="b">
        <v>0</v>
      </c>
      <c r="U225" s="4" t="b">
        <v>0</v>
      </c>
      <c r="V225" s="4" t="b">
        <v>0</v>
      </c>
      <c r="W225" s="4" t="b">
        <v>0</v>
      </c>
      <c r="X225" s="4" t="b">
        <v>1</v>
      </c>
      <c r="Y225" s="4" t="b">
        <v>1</v>
      </c>
    </row>
    <row r="226" spans="1:38">
      <c r="A226" s="4" t="s">
        <v>89</v>
      </c>
      <c r="B226" s="4" t="s">
        <v>88</v>
      </c>
      <c r="C226" s="4" t="s">
        <v>90</v>
      </c>
      <c r="F226" s="5">
        <v>42065.875138888892</v>
      </c>
      <c r="G226" s="4" t="s">
        <v>19</v>
      </c>
      <c r="H226" s="4">
        <v>0</v>
      </c>
      <c r="I226" s="4">
        <v>139.39482000000001</v>
      </c>
      <c r="J226" s="4">
        <v>35.58587</v>
      </c>
      <c r="K226" s="4" t="s">
        <v>232</v>
      </c>
      <c r="N226" s="4" t="s">
        <v>195</v>
      </c>
      <c r="O226" s="4" t="b">
        <v>1</v>
      </c>
      <c r="P226" s="4" t="b">
        <v>0</v>
      </c>
      <c r="Q226" s="4" t="b">
        <v>0</v>
      </c>
      <c r="R226" s="4" t="b">
        <v>0</v>
      </c>
      <c r="S226" s="4" t="b">
        <v>0</v>
      </c>
      <c r="T226" s="4" t="b">
        <v>0</v>
      </c>
      <c r="U226" s="4" t="b">
        <v>0</v>
      </c>
      <c r="V226" s="4" t="b">
        <v>0</v>
      </c>
      <c r="W226" s="4" t="b">
        <v>0</v>
      </c>
      <c r="X226" s="4" t="b">
        <v>1</v>
      </c>
      <c r="Y226" s="4" t="b">
        <v>1</v>
      </c>
    </row>
    <row r="227" spans="1:38">
      <c r="A227" s="4" t="s">
        <v>89</v>
      </c>
      <c r="B227" s="4" t="s">
        <v>88</v>
      </c>
      <c r="C227" s="4" t="s">
        <v>90</v>
      </c>
      <c r="F227" s="5">
        <v>42065.875335648147</v>
      </c>
      <c r="G227" s="4" t="s">
        <v>19</v>
      </c>
      <c r="H227" s="4">
        <v>1</v>
      </c>
      <c r="I227" s="4">
        <v>139.39483999999999</v>
      </c>
      <c r="J227" s="4">
        <v>35.585920000000002</v>
      </c>
      <c r="K227" s="4" t="s">
        <v>232</v>
      </c>
      <c r="N227" s="4" t="s">
        <v>195</v>
      </c>
      <c r="O227" s="4" t="b">
        <v>1</v>
      </c>
      <c r="P227" s="4" t="b">
        <v>0</v>
      </c>
      <c r="Q227" s="4" t="b">
        <v>0</v>
      </c>
      <c r="R227" s="4" t="b">
        <v>0</v>
      </c>
      <c r="S227" s="4" t="b">
        <v>0</v>
      </c>
      <c r="T227" s="4" t="b">
        <v>0</v>
      </c>
      <c r="U227" s="4" t="b">
        <v>0</v>
      </c>
      <c r="V227" s="4" t="b">
        <v>0</v>
      </c>
      <c r="W227" s="4" t="b">
        <v>0</v>
      </c>
      <c r="X227" s="4" t="b">
        <v>1</v>
      </c>
      <c r="Y227" s="4" t="b">
        <v>1</v>
      </c>
    </row>
    <row r="228" spans="1:38">
      <c r="A228" s="4" t="s">
        <v>89</v>
      </c>
      <c r="B228" s="4" t="s">
        <v>88</v>
      </c>
      <c r="C228" s="4" t="s">
        <v>90</v>
      </c>
      <c r="F228" s="5">
        <v>42065.875341516206</v>
      </c>
      <c r="G228" s="4" t="s">
        <v>98</v>
      </c>
      <c r="N228" s="4" t="s">
        <v>253</v>
      </c>
      <c r="AL228" s="4" t="s">
        <v>254</v>
      </c>
    </row>
    <row r="229" spans="1:38">
      <c r="A229" s="4" t="s">
        <v>89</v>
      </c>
      <c r="B229" s="4" t="s">
        <v>88</v>
      </c>
      <c r="C229" s="4" t="s">
        <v>90</v>
      </c>
      <c r="F229" s="5">
        <v>42065.875347222223</v>
      </c>
      <c r="G229" s="4" t="s">
        <v>19</v>
      </c>
      <c r="H229" s="4">
        <v>0</v>
      </c>
      <c r="I229" s="4">
        <v>139.39483999999999</v>
      </c>
      <c r="J229" s="4">
        <v>35.585920000000002</v>
      </c>
      <c r="K229" s="4" t="s">
        <v>232</v>
      </c>
      <c r="N229" s="4" t="s">
        <v>195</v>
      </c>
      <c r="O229" s="4" t="b">
        <v>1</v>
      </c>
      <c r="P229" s="4" t="b">
        <v>0</v>
      </c>
      <c r="Q229" s="4" t="b">
        <v>0</v>
      </c>
      <c r="R229" s="4" t="b">
        <v>0</v>
      </c>
      <c r="S229" s="4" t="b">
        <v>0</v>
      </c>
      <c r="T229" s="4" t="b">
        <v>0</v>
      </c>
      <c r="U229" s="4" t="b">
        <v>0</v>
      </c>
      <c r="V229" s="4" t="b">
        <v>0</v>
      </c>
      <c r="W229" s="4" t="b">
        <v>0</v>
      </c>
      <c r="X229" s="4" t="b">
        <v>1</v>
      </c>
      <c r="Y229" s="4" t="b">
        <v>1</v>
      </c>
    </row>
    <row r="230" spans="1:38">
      <c r="A230" s="4" t="s">
        <v>89</v>
      </c>
      <c r="B230" s="4" t="s">
        <v>88</v>
      </c>
      <c r="C230" s="4" t="s">
        <v>90</v>
      </c>
      <c r="F230" s="5">
        <v>42065.875358796293</v>
      </c>
      <c r="G230" s="4" t="s">
        <v>19</v>
      </c>
      <c r="H230" s="4">
        <v>2</v>
      </c>
      <c r="I230" s="4">
        <v>139.39483999999999</v>
      </c>
      <c r="J230" s="4">
        <v>35.585920000000002</v>
      </c>
      <c r="K230" s="4" t="s">
        <v>232</v>
      </c>
      <c r="N230" s="4" t="s">
        <v>195</v>
      </c>
      <c r="O230" s="4" t="b">
        <v>1</v>
      </c>
      <c r="P230" s="4" t="b">
        <v>0</v>
      </c>
      <c r="Q230" s="4" t="b">
        <v>0</v>
      </c>
      <c r="R230" s="4" t="b">
        <v>0</v>
      </c>
      <c r="S230" s="4" t="b">
        <v>0</v>
      </c>
      <c r="T230" s="4" t="b">
        <v>0</v>
      </c>
      <c r="U230" s="4" t="b">
        <v>0</v>
      </c>
      <c r="V230" s="4" t="b">
        <v>0</v>
      </c>
      <c r="W230" s="4" t="b">
        <v>0</v>
      </c>
      <c r="X230" s="4" t="b">
        <v>1</v>
      </c>
      <c r="Y230" s="4" t="b">
        <v>1</v>
      </c>
    </row>
    <row r="231" spans="1:38">
      <c r="A231" s="4" t="s">
        <v>89</v>
      </c>
      <c r="B231" s="4" t="s">
        <v>88</v>
      </c>
      <c r="C231" s="4" t="s">
        <v>90</v>
      </c>
      <c r="F231" s="5">
        <v>42065.87537037037</v>
      </c>
      <c r="G231" s="4" t="s">
        <v>19</v>
      </c>
      <c r="H231" s="4">
        <v>0</v>
      </c>
      <c r="I231" s="4">
        <v>139.39483999999999</v>
      </c>
      <c r="J231" s="4">
        <v>35.585900000000002</v>
      </c>
      <c r="K231" s="4" t="s">
        <v>232</v>
      </c>
      <c r="N231" s="4" t="s">
        <v>195</v>
      </c>
      <c r="O231" s="4" t="b">
        <v>1</v>
      </c>
      <c r="P231" s="4" t="b">
        <v>0</v>
      </c>
      <c r="Q231" s="4" t="b">
        <v>0</v>
      </c>
      <c r="R231" s="4" t="b">
        <v>0</v>
      </c>
      <c r="S231" s="4" t="b">
        <v>0</v>
      </c>
      <c r="T231" s="4" t="b">
        <v>0</v>
      </c>
      <c r="U231" s="4" t="b">
        <v>0</v>
      </c>
      <c r="V231" s="4" t="b">
        <v>0</v>
      </c>
      <c r="W231" s="4" t="b">
        <v>0</v>
      </c>
      <c r="X231" s="4" t="b">
        <v>1</v>
      </c>
      <c r="Y231" s="4" t="b">
        <v>1</v>
      </c>
    </row>
    <row r="232" spans="1:38">
      <c r="A232" s="4" t="s">
        <v>89</v>
      </c>
      <c r="B232" s="4" t="s">
        <v>88</v>
      </c>
      <c r="C232" s="4" t="s">
        <v>90</v>
      </c>
      <c r="F232" s="5">
        <v>42065.875393518516</v>
      </c>
      <c r="G232" s="4" t="s">
        <v>19</v>
      </c>
      <c r="H232" s="4">
        <v>2</v>
      </c>
      <c r="I232" s="4">
        <v>139.39483999999999</v>
      </c>
      <c r="J232" s="4">
        <v>35.585900000000002</v>
      </c>
      <c r="K232" s="4" t="s">
        <v>232</v>
      </c>
      <c r="N232" s="4" t="s">
        <v>195</v>
      </c>
      <c r="O232" s="4" t="b">
        <v>1</v>
      </c>
      <c r="P232" s="4" t="b">
        <v>0</v>
      </c>
      <c r="Q232" s="4" t="b">
        <v>0</v>
      </c>
      <c r="R232" s="4" t="b">
        <v>0</v>
      </c>
      <c r="S232" s="4" t="b">
        <v>0</v>
      </c>
      <c r="T232" s="4" t="b">
        <v>0</v>
      </c>
      <c r="U232" s="4" t="b">
        <v>0</v>
      </c>
      <c r="V232" s="4" t="b">
        <v>0</v>
      </c>
      <c r="W232" s="4" t="b">
        <v>0</v>
      </c>
      <c r="X232" s="4" t="b">
        <v>1</v>
      </c>
      <c r="Y232" s="4" t="b">
        <v>1</v>
      </c>
    </row>
    <row r="233" spans="1:38">
      <c r="A233" s="4" t="s">
        <v>89</v>
      </c>
      <c r="B233" s="4" t="s">
        <v>88</v>
      </c>
      <c r="C233" s="4" t="s">
        <v>90</v>
      </c>
      <c r="F233" s="5">
        <v>42065.875416666669</v>
      </c>
      <c r="G233" s="4" t="s">
        <v>19</v>
      </c>
      <c r="H233" s="4">
        <v>0</v>
      </c>
      <c r="I233" s="4">
        <v>139.39483999999999</v>
      </c>
      <c r="J233" s="4">
        <v>35.585900000000002</v>
      </c>
      <c r="K233" s="4" t="s">
        <v>232</v>
      </c>
      <c r="N233" s="4" t="s">
        <v>195</v>
      </c>
      <c r="O233" s="4" t="b">
        <v>1</v>
      </c>
      <c r="P233" s="4" t="b">
        <v>0</v>
      </c>
      <c r="Q233" s="4" t="b">
        <v>0</v>
      </c>
      <c r="R233" s="4" t="b">
        <v>0</v>
      </c>
      <c r="S233" s="4" t="b">
        <v>0</v>
      </c>
      <c r="T233" s="4" t="b">
        <v>0</v>
      </c>
      <c r="U233" s="4" t="b">
        <v>0</v>
      </c>
      <c r="V233" s="4" t="b">
        <v>0</v>
      </c>
      <c r="W233" s="4" t="b">
        <v>0</v>
      </c>
      <c r="X233" s="4" t="b">
        <v>1</v>
      </c>
      <c r="Y233" s="4" t="b">
        <v>1</v>
      </c>
    </row>
    <row r="234" spans="1:38">
      <c r="A234" s="4" t="s">
        <v>89</v>
      </c>
      <c r="B234" s="4" t="s">
        <v>88</v>
      </c>
      <c r="C234" s="4" t="s">
        <v>90</v>
      </c>
      <c r="F234" s="5">
        <v>42065.875601851854</v>
      </c>
      <c r="G234" s="4" t="s">
        <v>98</v>
      </c>
      <c r="N234" s="4" t="s">
        <v>206</v>
      </c>
      <c r="AL234" s="4" t="s">
        <v>255</v>
      </c>
    </row>
    <row r="235" spans="1:38">
      <c r="A235" s="4" t="s">
        <v>89</v>
      </c>
      <c r="B235" s="4" t="s">
        <v>88</v>
      </c>
      <c r="C235" s="4" t="s">
        <v>90</v>
      </c>
      <c r="F235" s="5">
        <v>42065.875614895835</v>
      </c>
      <c r="G235" s="4" t="s">
        <v>59</v>
      </c>
      <c r="AC235" s="4" t="s">
        <v>6</v>
      </c>
      <c r="AD235" s="4" t="s">
        <v>157</v>
      </c>
      <c r="AE235" s="4" t="s">
        <v>18</v>
      </c>
      <c r="AF235" s="4" t="s">
        <v>94</v>
      </c>
      <c r="AI235" s="4">
        <v>0</v>
      </c>
      <c r="AJ235" s="4" t="s">
        <v>18</v>
      </c>
      <c r="AK235" s="4" t="s">
        <v>91</v>
      </c>
    </row>
    <row r="236" spans="1:38">
      <c r="A236" s="4" t="s">
        <v>89</v>
      </c>
      <c r="B236" s="4" t="s">
        <v>88</v>
      </c>
      <c r="C236" s="4" t="s">
        <v>90</v>
      </c>
      <c r="F236" s="5">
        <v>42065.875614895835</v>
      </c>
      <c r="G236" s="4" t="s">
        <v>19</v>
      </c>
      <c r="H236" s="4">
        <v>0</v>
      </c>
      <c r="I236" s="4">
        <v>139.39487</v>
      </c>
      <c r="J236" s="4">
        <v>35.585920000000002</v>
      </c>
      <c r="K236" s="4" t="s">
        <v>232</v>
      </c>
      <c r="N236" s="4" t="s">
        <v>6</v>
      </c>
      <c r="O236" s="4" t="b">
        <v>0</v>
      </c>
      <c r="P236" s="4" t="b">
        <v>0</v>
      </c>
      <c r="Q236" s="4" t="b">
        <v>0</v>
      </c>
      <c r="R236" s="4" t="b">
        <v>0</v>
      </c>
      <c r="S236" s="4" t="b">
        <v>0</v>
      </c>
      <c r="T236" s="4" t="b">
        <v>0</v>
      </c>
      <c r="U236" s="4" t="b">
        <v>0</v>
      </c>
      <c r="V236" s="4" t="b">
        <v>0</v>
      </c>
      <c r="W236" s="4" t="b">
        <v>0</v>
      </c>
      <c r="X236" s="4" t="b">
        <v>1</v>
      </c>
      <c r="Y236" s="4" t="b">
        <v>1</v>
      </c>
    </row>
    <row r="237" spans="1:38">
      <c r="A237" s="4" t="s">
        <v>89</v>
      </c>
      <c r="B237" s="4" t="s">
        <v>88</v>
      </c>
      <c r="C237" s="4" t="s">
        <v>90</v>
      </c>
      <c r="F237" s="5">
        <v>42065.875689780092</v>
      </c>
      <c r="G237" s="4" t="s">
        <v>59</v>
      </c>
      <c r="AC237" s="4" t="s">
        <v>217</v>
      </c>
      <c r="AD237" s="4" t="s">
        <v>216</v>
      </c>
      <c r="AE237" s="4" t="s">
        <v>18</v>
      </c>
      <c r="AF237" s="4" t="s">
        <v>94</v>
      </c>
      <c r="AI237" s="4">
        <v>13.3588886</v>
      </c>
      <c r="AJ237" s="4" t="s">
        <v>142</v>
      </c>
      <c r="AK237" s="4" t="s">
        <v>141</v>
      </c>
    </row>
    <row r="238" spans="1:38">
      <c r="A238" s="4" t="s">
        <v>89</v>
      </c>
      <c r="B238" s="4" t="s">
        <v>88</v>
      </c>
      <c r="C238" s="4" t="s">
        <v>90</v>
      </c>
      <c r="F238" s="5">
        <v>42065.875695104165</v>
      </c>
      <c r="G238" s="4" t="s">
        <v>59</v>
      </c>
      <c r="AC238" s="4" t="s">
        <v>259</v>
      </c>
      <c r="AD238" s="4" t="s">
        <v>258</v>
      </c>
      <c r="AE238" s="4" t="s">
        <v>18</v>
      </c>
      <c r="AF238" s="4" t="s">
        <v>94</v>
      </c>
      <c r="AI238" s="4">
        <v>0.34</v>
      </c>
      <c r="AJ238" s="4" t="s">
        <v>257</v>
      </c>
      <c r="AK238" s="4" t="s">
        <v>256</v>
      </c>
    </row>
    <row r="239" spans="1:38">
      <c r="A239" s="4" t="s">
        <v>89</v>
      </c>
      <c r="B239" s="4" t="s">
        <v>88</v>
      </c>
      <c r="C239" s="4" t="s">
        <v>90</v>
      </c>
      <c r="F239" s="5">
        <v>42065.875695104165</v>
      </c>
      <c r="G239" s="4" t="s">
        <v>98</v>
      </c>
      <c r="N239" s="4" t="s">
        <v>260</v>
      </c>
      <c r="AL239" s="4" t="s">
        <v>261</v>
      </c>
    </row>
    <row r="240" spans="1:38">
      <c r="A240" s="4" t="s">
        <v>89</v>
      </c>
      <c r="B240" s="4" t="s">
        <v>88</v>
      </c>
      <c r="C240" s="4" t="s">
        <v>90</v>
      </c>
      <c r="F240" s="5">
        <v>42065.875695104165</v>
      </c>
      <c r="G240" s="4" t="s">
        <v>98</v>
      </c>
      <c r="N240" s="4" t="s">
        <v>262</v>
      </c>
      <c r="AL240" s="4" t="s">
        <v>263</v>
      </c>
    </row>
    <row r="241" spans="1:38">
      <c r="A241" s="4" t="s">
        <v>89</v>
      </c>
      <c r="B241" s="4" t="s">
        <v>88</v>
      </c>
      <c r="C241" s="4" t="s">
        <v>90</v>
      </c>
      <c r="F241" s="5">
        <v>42065.875695104165</v>
      </c>
      <c r="G241" s="4" t="s">
        <v>98</v>
      </c>
      <c r="N241" s="4" t="s">
        <v>264</v>
      </c>
      <c r="AL241" s="4" t="s">
        <v>197</v>
      </c>
    </row>
    <row r="242" spans="1:38">
      <c r="A242" s="4" t="s">
        <v>89</v>
      </c>
      <c r="B242" s="4" t="s">
        <v>88</v>
      </c>
      <c r="C242" s="4" t="s">
        <v>90</v>
      </c>
      <c r="F242" s="5">
        <v>42065.875695219911</v>
      </c>
      <c r="G242" s="4" t="s">
        <v>59</v>
      </c>
      <c r="AC242" s="4" t="s">
        <v>266</v>
      </c>
      <c r="AD242" s="4" t="s">
        <v>265</v>
      </c>
      <c r="AE242" s="4" t="s">
        <v>18</v>
      </c>
      <c r="AF242" s="4" t="s">
        <v>94</v>
      </c>
      <c r="AI242" s="4">
        <v>0.08</v>
      </c>
      <c r="AJ242" s="4" t="s">
        <v>257</v>
      </c>
      <c r="AK242" s="4" t="s">
        <v>256</v>
      </c>
    </row>
    <row r="243" spans="1:38">
      <c r="A243" s="4" t="s">
        <v>89</v>
      </c>
      <c r="B243" s="4" t="s">
        <v>88</v>
      </c>
      <c r="C243" s="4" t="s">
        <v>90</v>
      </c>
      <c r="F243" s="5">
        <v>42065.87569533565</v>
      </c>
      <c r="G243" s="4" t="s">
        <v>59</v>
      </c>
      <c r="AC243" s="4" t="s">
        <v>268</v>
      </c>
      <c r="AD243" s="4" t="s">
        <v>267</v>
      </c>
      <c r="AE243" s="4" t="s">
        <v>18</v>
      </c>
      <c r="AF243" s="4" t="s">
        <v>94</v>
      </c>
      <c r="AI243" s="4">
        <v>0.34</v>
      </c>
      <c r="AJ243" s="4" t="s">
        <v>257</v>
      </c>
      <c r="AK243" s="4" t="s">
        <v>256</v>
      </c>
    </row>
    <row r="244" spans="1:38">
      <c r="A244" s="4" t="s">
        <v>89</v>
      </c>
      <c r="B244" s="4" t="s">
        <v>88</v>
      </c>
      <c r="C244" s="4" t="s">
        <v>90</v>
      </c>
      <c r="F244" s="5">
        <v>42065.875695451388</v>
      </c>
      <c r="G244" s="4" t="s">
        <v>59</v>
      </c>
      <c r="AC244" s="4" t="s">
        <v>270</v>
      </c>
      <c r="AD244" s="4" t="s">
        <v>269</v>
      </c>
      <c r="AE244" s="4" t="s">
        <v>18</v>
      </c>
      <c r="AF244" s="4" t="s">
        <v>94</v>
      </c>
      <c r="AI244" s="4">
        <v>0.08</v>
      </c>
      <c r="AJ244" s="4" t="s">
        <v>257</v>
      </c>
      <c r="AK244" s="4" t="s">
        <v>256</v>
      </c>
    </row>
    <row r="245" spans="1:38">
      <c r="A245" s="4" t="s">
        <v>89</v>
      </c>
      <c r="B245" s="4" t="s">
        <v>88</v>
      </c>
      <c r="C245" s="4" t="s">
        <v>90</v>
      </c>
      <c r="F245" s="5">
        <v>42065.875705868057</v>
      </c>
      <c r="G245" s="4" t="s">
        <v>59</v>
      </c>
      <c r="AC245" s="4" t="s">
        <v>274</v>
      </c>
      <c r="AD245" s="4" t="s">
        <v>273</v>
      </c>
      <c r="AE245" s="4" t="s">
        <v>18</v>
      </c>
      <c r="AF245" s="4" t="s">
        <v>94</v>
      </c>
      <c r="AI245" s="4">
        <v>9.3555440902709961</v>
      </c>
      <c r="AJ245" s="4" t="s">
        <v>272</v>
      </c>
      <c r="AK245" s="4" t="s">
        <v>271</v>
      </c>
    </row>
    <row r="246" spans="1:38">
      <c r="A246" s="4" t="s">
        <v>89</v>
      </c>
      <c r="B246" s="4" t="s">
        <v>88</v>
      </c>
      <c r="C246" s="4" t="s">
        <v>90</v>
      </c>
      <c r="F246" s="5">
        <v>42065.875705868057</v>
      </c>
      <c r="G246" s="4" t="s">
        <v>98</v>
      </c>
      <c r="N246" s="4" t="s">
        <v>275</v>
      </c>
      <c r="AL246" s="4" t="s">
        <v>276</v>
      </c>
    </row>
    <row r="247" spans="1:38">
      <c r="A247" s="4" t="s">
        <v>89</v>
      </c>
      <c r="B247" s="4" t="s">
        <v>88</v>
      </c>
      <c r="C247" s="4" t="s">
        <v>90</v>
      </c>
      <c r="F247" s="5">
        <v>42065.875705868057</v>
      </c>
      <c r="G247" s="4" t="s">
        <v>59</v>
      </c>
      <c r="AC247" s="4" t="s">
        <v>278</v>
      </c>
      <c r="AD247" s="4" t="s">
        <v>277</v>
      </c>
      <c r="AE247" s="4" t="s">
        <v>18</v>
      </c>
      <c r="AF247" s="4" t="s">
        <v>94</v>
      </c>
      <c r="AI247" s="4">
        <v>0</v>
      </c>
      <c r="AJ247" s="4" t="s">
        <v>18</v>
      </c>
      <c r="AK247" s="4" t="s">
        <v>91</v>
      </c>
    </row>
    <row r="248" spans="1:38">
      <c r="A248" s="4" t="s">
        <v>89</v>
      </c>
      <c r="B248" s="4" t="s">
        <v>88</v>
      </c>
      <c r="C248" s="4" t="s">
        <v>90</v>
      </c>
      <c r="F248" s="5">
        <v>42065.875705868057</v>
      </c>
      <c r="G248" s="4" t="s">
        <v>59</v>
      </c>
      <c r="AC248" s="4" t="s">
        <v>280</v>
      </c>
      <c r="AD248" s="4" t="s">
        <v>279</v>
      </c>
      <c r="AE248" s="4" t="s">
        <v>18</v>
      </c>
      <c r="AF248" s="4" t="s">
        <v>94</v>
      </c>
      <c r="AI248" s="4">
        <v>0</v>
      </c>
      <c r="AJ248" s="4" t="s">
        <v>272</v>
      </c>
      <c r="AK248" s="4" t="s">
        <v>271</v>
      </c>
    </row>
    <row r="249" spans="1:38">
      <c r="A249" s="4" t="s">
        <v>89</v>
      </c>
      <c r="B249" s="4" t="s">
        <v>88</v>
      </c>
      <c r="C249" s="4" t="s">
        <v>90</v>
      </c>
      <c r="F249" s="5">
        <v>42065.875705868057</v>
      </c>
      <c r="G249" s="4" t="s">
        <v>59</v>
      </c>
      <c r="AC249" s="4" t="s">
        <v>282</v>
      </c>
      <c r="AD249" s="4" t="s">
        <v>281</v>
      </c>
      <c r="AE249" s="4" t="s">
        <v>18</v>
      </c>
      <c r="AF249" s="4" t="s">
        <v>94</v>
      </c>
      <c r="AI249" s="4">
        <v>0</v>
      </c>
      <c r="AJ249" s="4" t="s">
        <v>272</v>
      </c>
      <c r="AK249" s="4" t="s">
        <v>271</v>
      </c>
    </row>
    <row r="250" spans="1:38">
      <c r="A250" s="4" t="s">
        <v>89</v>
      </c>
      <c r="B250" s="4" t="s">
        <v>88</v>
      </c>
      <c r="C250" s="4" t="s">
        <v>90</v>
      </c>
      <c r="F250" s="5">
        <v>42065.875705937498</v>
      </c>
      <c r="G250" s="4" t="s">
        <v>59</v>
      </c>
      <c r="AC250" s="4" t="s">
        <v>286</v>
      </c>
      <c r="AD250" s="4" t="s">
        <v>285</v>
      </c>
      <c r="AE250" s="4" t="s">
        <v>18</v>
      </c>
      <c r="AF250" s="4" t="s">
        <v>94</v>
      </c>
      <c r="AI250" s="4">
        <v>0.26179943500000014</v>
      </c>
      <c r="AJ250" s="4" t="s">
        <v>284</v>
      </c>
      <c r="AK250" s="4" t="s">
        <v>283</v>
      </c>
    </row>
    <row r="251" spans="1:38">
      <c r="A251" s="4" t="s">
        <v>89</v>
      </c>
      <c r="B251" s="4" t="s">
        <v>88</v>
      </c>
      <c r="C251" s="4" t="s">
        <v>90</v>
      </c>
      <c r="F251" s="5">
        <v>42065.875706053244</v>
      </c>
      <c r="G251" s="4" t="s">
        <v>59</v>
      </c>
      <c r="AC251" s="4" t="s">
        <v>165</v>
      </c>
      <c r="AD251" s="4" t="s">
        <v>164</v>
      </c>
      <c r="AE251" s="4" t="s">
        <v>18</v>
      </c>
      <c r="AF251" s="4" t="s">
        <v>94</v>
      </c>
      <c r="AI251" s="4">
        <v>0</v>
      </c>
      <c r="AJ251" s="4" t="s">
        <v>163</v>
      </c>
      <c r="AK251" s="4" t="s">
        <v>162</v>
      </c>
    </row>
    <row r="252" spans="1:38">
      <c r="A252" s="4" t="s">
        <v>89</v>
      </c>
      <c r="B252" s="4" t="s">
        <v>88</v>
      </c>
      <c r="C252" s="4" t="s">
        <v>90</v>
      </c>
      <c r="F252" s="5">
        <v>42065.875822222224</v>
      </c>
      <c r="G252" s="4" t="s">
        <v>98</v>
      </c>
      <c r="N252" s="4" t="s">
        <v>287</v>
      </c>
      <c r="AL252" s="4" t="s">
        <v>181</v>
      </c>
    </row>
    <row r="253" spans="1:38">
      <c r="A253" s="4" t="s">
        <v>89</v>
      </c>
      <c r="B253" s="4" t="s">
        <v>88</v>
      </c>
      <c r="C253" s="4" t="s">
        <v>90</v>
      </c>
      <c r="F253" s="5">
        <v>42065.876037002316</v>
      </c>
      <c r="G253" s="4" t="s">
        <v>59</v>
      </c>
      <c r="AC253" s="4" t="s">
        <v>217</v>
      </c>
      <c r="AD253" s="4" t="s">
        <v>216</v>
      </c>
      <c r="AE253" s="4" t="s">
        <v>18</v>
      </c>
      <c r="AF253" s="4" t="s">
        <v>94</v>
      </c>
      <c r="AI253" s="4">
        <v>13.0368891</v>
      </c>
      <c r="AJ253" s="4" t="s">
        <v>142</v>
      </c>
      <c r="AK253" s="4" t="s">
        <v>141</v>
      </c>
    </row>
    <row r="254" spans="1:38">
      <c r="A254" s="4" t="s">
        <v>89</v>
      </c>
      <c r="B254" s="4" t="s">
        <v>88</v>
      </c>
      <c r="C254" s="4" t="s">
        <v>90</v>
      </c>
      <c r="F254" s="5">
        <v>42065.877627314818</v>
      </c>
      <c r="G254" s="4" t="s">
        <v>98</v>
      </c>
      <c r="N254" s="4" t="s">
        <v>206</v>
      </c>
      <c r="AL254" s="4" t="s">
        <v>181</v>
      </c>
    </row>
    <row r="255" spans="1:38">
      <c r="A255" s="4" t="s">
        <v>89</v>
      </c>
      <c r="B255" s="4" t="s">
        <v>88</v>
      </c>
      <c r="C255" s="4" t="s">
        <v>90</v>
      </c>
      <c r="F255" s="5">
        <v>42065.880231481482</v>
      </c>
      <c r="G255" s="4" t="s">
        <v>98</v>
      </c>
      <c r="N255" s="4" t="s">
        <v>206</v>
      </c>
      <c r="AL255" s="4" t="s">
        <v>181</v>
      </c>
    </row>
    <row r="256" spans="1:38">
      <c r="A256" s="4" t="s">
        <v>89</v>
      </c>
      <c r="B256" s="4" t="s">
        <v>88</v>
      </c>
      <c r="C256" s="4" t="s">
        <v>90</v>
      </c>
      <c r="F256" s="5">
        <v>42065.881129594905</v>
      </c>
      <c r="G256" s="4" t="s">
        <v>59</v>
      </c>
      <c r="AC256" s="4" t="s">
        <v>217</v>
      </c>
      <c r="AD256" s="4" t="s">
        <v>216</v>
      </c>
      <c r="AE256" s="4" t="s">
        <v>18</v>
      </c>
      <c r="AF256" s="4" t="s">
        <v>94</v>
      </c>
      <c r="AI256" s="4">
        <v>12.7506676</v>
      </c>
      <c r="AJ256" s="4" t="s">
        <v>142</v>
      </c>
      <c r="AK256" s="4" t="s">
        <v>141</v>
      </c>
    </row>
    <row r="257" spans="1:38">
      <c r="A257" s="4" t="s">
        <v>89</v>
      </c>
      <c r="B257" s="4" t="s">
        <v>88</v>
      </c>
      <c r="C257" s="4" t="s">
        <v>90</v>
      </c>
      <c r="F257" s="5">
        <v>42065.897222222222</v>
      </c>
      <c r="G257" s="4" t="s">
        <v>98</v>
      </c>
      <c r="N257" s="4" t="s">
        <v>288</v>
      </c>
      <c r="AL257" s="4" t="s">
        <v>181</v>
      </c>
    </row>
    <row r="258" spans="1:38">
      <c r="A258" s="4" t="s">
        <v>89</v>
      </c>
      <c r="B258" s="4" t="s">
        <v>88</v>
      </c>
      <c r="C258" s="4" t="s">
        <v>90</v>
      </c>
      <c r="F258" s="5">
        <v>42065.897222222222</v>
      </c>
      <c r="G258" s="4" t="s">
        <v>98</v>
      </c>
      <c r="N258" s="4" t="s">
        <v>289</v>
      </c>
      <c r="AL258" s="4" t="s">
        <v>181</v>
      </c>
    </row>
    <row r="259" spans="1:38">
      <c r="A259" s="4" t="s">
        <v>89</v>
      </c>
      <c r="B259" s="4" t="s">
        <v>88</v>
      </c>
      <c r="C259" s="4" t="s">
        <v>90</v>
      </c>
      <c r="F259" s="5">
        <v>42065.897446527779</v>
      </c>
      <c r="G259" s="4" t="s">
        <v>98</v>
      </c>
      <c r="N259" s="4" t="s">
        <v>290</v>
      </c>
      <c r="AL259" s="4" t="s">
        <v>291</v>
      </c>
    </row>
    <row r="260" spans="1:38">
      <c r="A260" s="4" t="s">
        <v>89</v>
      </c>
      <c r="B260" s="4" t="s">
        <v>88</v>
      </c>
      <c r="C260" s="4" t="s">
        <v>90</v>
      </c>
      <c r="F260" s="5">
        <v>42065.897466006943</v>
      </c>
      <c r="G260" s="4" t="s">
        <v>19</v>
      </c>
      <c r="H260" s="4">
        <v>0</v>
      </c>
      <c r="I260" s="4">
        <v>139.39483999999999</v>
      </c>
      <c r="J260" s="4">
        <v>35.585920000000002</v>
      </c>
      <c r="K260" s="4" t="s">
        <v>232</v>
      </c>
      <c r="N260" s="4" t="s">
        <v>292</v>
      </c>
      <c r="O260" s="4" t="b">
        <v>0</v>
      </c>
      <c r="P260" s="4" t="b">
        <v>0</v>
      </c>
      <c r="Q260" s="4" t="b">
        <v>0</v>
      </c>
      <c r="R260" s="4" t="b">
        <v>0</v>
      </c>
      <c r="S260" s="4" t="b">
        <v>0</v>
      </c>
      <c r="T260" s="4" t="b">
        <v>0</v>
      </c>
      <c r="U260" s="4" t="b">
        <v>0</v>
      </c>
      <c r="V260" s="4" t="b">
        <v>0</v>
      </c>
      <c r="W260" s="4" t="b">
        <v>0</v>
      </c>
      <c r="X260" s="4" t="b">
        <v>1</v>
      </c>
      <c r="Y260" s="4" t="b">
        <v>0</v>
      </c>
    </row>
    <row r="261" spans="1:38">
      <c r="A261" s="4" t="s">
        <v>89</v>
      </c>
      <c r="B261" s="4" t="s">
        <v>88</v>
      </c>
      <c r="C261" s="4" t="s">
        <v>90</v>
      </c>
      <c r="F261" s="5">
        <v>42065.897466863426</v>
      </c>
      <c r="G261" s="4" t="s">
        <v>98</v>
      </c>
      <c r="N261" s="4" t="s">
        <v>293</v>
      </c>
      <c r="AL261" s="4" t="s">
        <v>294</v>
      </c>
    </row>
    <row r="262" spans="1:38">
      <c r="A262" s="4" t="s">
        <v>89</v>
      </c>
      <c r="B262" s="4" t="s">
        <v>88</v>
      </c>
      <c r="C262" s="4" t="s">
        <v>90</v>
      </c>
      <c r="F262" s="5">
        <v>42065.900574039355</v>
      </c>
      <c r="G262" s="4" t="s">
        <v>59</v>
      </c>
      <c r="AC262" s="4" t="s">
        <v>217</v>
      </c>
      <c r="AD262" s="4" t="s">
        <v>216</v>
      </c>
      <c r="AE262" s="4" t="s">
        <v>18</v>
      </c>
      <c r="AF262" s="4" t="s">
        <v>94</v>
      </c>
      <c r="AI262" s="4">
        <v>12.464444200000001</v>
      </c>
      <c r="AJ262" s="4" t="s">
        <v>142</v>
      </c>
      <c r="AK262" s="4" t="s">
        <v>141</v>
      </c>
    </row>
    <row r="263" spans="1:38">
      <c r="A263" s="4" t="s">
        <v>89</v>
      </c>
      <c r="B263" s="4" t="s">
        <v>88</v>
      </c>
      <c r="C263" s="4" t="s">
        <v>90</v>
      </c>
      <c r="F263" s="5">
        <v>42065.900606446761</v>
      </c>
      <c r="G263" s="4" t="s">
        <v>98</v>
      </c>
      <c r="N263" s="4" t="s">
        <v>288</v>
      </c>
      <c r="AL263" s="4" t="s">
        <v>181</v>
      </c>
    </row>
    <row r="264" spans="1:38">
      <c r="A264" s="4" t="s">
        <v>89</v>
      </c>
      <c r="B264" s="4" t="s">
        <v>88</v>
      </c>
      <c r="C264" s="4" t="s">
        <v>90</v>
      </c>
      <c r="F264" s="5">
        <v>42065.901049768516</v>
      </c>
      <c r="G264" s="4" t="s">
        <v>59</v>
      </c>
      <c r="AC264" s="4" t="s">
        <v>217</v>
      </c>
      <c r="AD264" s="4" t="s">
        <v>216</v>
      </c>
      <c r="AE264" s="4" t="s">
        <v>18</v>
      </c>
      <c r="AF264" s="4" t="s">
        <v>94</v>
      </c>
      <c r="AI264" s="4">
        <v>12.7506676</v>
      </c>
      <c r="AJ264" s="4" t="s">
        <v>142</v>
      </c>
      <c r="AK264" s="4" t="s">
        <v>141</v>
      </c>
    </row>
    <row r="265" spans="1:38">
      <c r="A265" s="4" t="s">
        <v>89</v>
      </c>
      <c r="B265" s="4" t="s">
        <v>88</v>
      </c>
      <c r="C265" s="4" t="s">
        <v>90</v>
      </c>
      <c r="F265" s="5">
        <v>42065.901551076386</v>
      </c>
      <c r="G265" s="4" t="s">
        <v>59</v>
      </c>
      <c r="AC265" s="4" t="s">
        <v>144</v>
      </c>
      <c r="AD265" s="4" t="s">
        <v>143</v>
      </c>
      <c r="AE265" s="4" t="s">
        <v>18</v>
      </c>
      <c r="AF265" s="4" t="s">
        <v>94</v>
      </c>
      <c r="AI265" s="4">
        <v>12.536760000000001</v>
      </c>
      <c r="AJ265" s="4" t="s">
        <v>142</v>
      </c>
      <c r="AK265" s="4" t="s">
        <v>141</v>
      </c>
    </row>
    <row r="266" spans="1:38">
      <c r="A266" s="4" t="s">
        <v>89</v>
      </c>
      <c r="B266" s="4" t="s">
        <v>88</v>
      </c>
      <c r="C266" s="4" t="s">
        <v>90</v>
      </c>
      <c r="F266" s="5">
        <v>42065.901585648149</v>
      </c>
      <c r="G266" s="4" t="s">
        <v>98</v>
      </c>
      <c r="N266" s="4" t="s">
        <v>206</v>
      </c>
      <c r="AL266" s="4" t="s">
        <v>181</v>
      </c>
    </row>
    <row r="267" spans="1:38">
      <c r="A267" s="4" t="s">
        <v>89</v>
      </c>
      <c r="B267" s="4" t="s">
        <v>88</v>
      </c>
      <c r="C267" s="4" t="s">
        <v>90</v>
      </c>
      <c r="F267" s="5">
        <v>42065.901587962966</v>
      </c>
      <c r="G267" s="4" t="s">
        <v>59</v>
      </c>
      <c r="AC267" s="4" t="s">
        <v>144</v>
      </c>
      <c r="AD267" s="4" t="s">
        <v>143</v>
      </c>
      <c r="AE267" s="4" t="s">
        <v>18</v>
      </c>
      <c r="AF267" s="4" t="s">
        <v>94</v>
      </c>
      <c r="AI267" s="4">
        <v>12.536760000000001</v>
      </c>
      <c r="AJ267" s="4" t="s">
        <v>142</v>
      </c>
      <c r="AK267" s="4" t="s">
        <v>141</v>
      </c>
    </row>
    <row r="268" spans="1:38">
      <c r="A268" s="4" t="s">
        <v>89</v>
      </c>
      <c r="B268" s="4" t="s">
        <v>88</v>
      </c>
      <c r="C268" s="4" t="s">
        <v>90</v>
      </c>
      <c r="F268" s="5">
        <v>42065.901591435184</v>
      </c>
      <c r="G268" s="4" t="s">
        <v>59</v>
      </c>
      <c r="AC268" s="4" t="s">
        <v>144</v>
      </c>
      <c r="AD268" s="4" t="s">
        <v>143</v>
      </c>
      <c r="AE268" s="4" t="s">
        <v>18</v>
      </c>
      <c r="AF268" s="4" t="s">
        <v>94</v>
      </c>
      <c r="AI268" s="4">
        <v>12.1074</v>
      </c>
      <c r="AJ268" s="4" t="s">
        <v>142</v>
      </c>
      <c r="AK268" s="4" t="s">
        <v>141</v>
      </c>
    </row>
    <row r="269" spans="1:38">
      <c r="A269" s="4" t="s">
        <v>89</v>
      </c>
      <c r="B269" s="4" t="s">
        <v>88</v>
      </c>
      <c r="C269" s="4" t="s">
        <v>90</v>
      </c>
      <c r="F269" s="5">
        <v>42065.901592557871</v>
      </c>
      <c r="G269" s="4" t="s">
        <v>59</v>
      </c>
      <c r="AC269" s="4" t="s">
        <v>144</v>
      </c>
      <c r="AD269" s="4" t="s">
        <v>143</v>
      </c>
      <c r="AE269" s="4" t="s">
        <v>18</v>
      </c>
      <c r="AF269" s="4" t="s">
        <v>94</v>
      </c>
      <c r="AI269" s="4">
        <v>7.3128799999999998</v>
      </c>
      <c r="AJ269" s="4" t="s">
        <v>142</v>
      </c>
      <c r="AK269" s="4" t="s">
        <v>141</v>
      </c>
    </row>
    <row r="270" spans="1:38">
      <c r="A270" s="4" t="s">
        <v>89</v>
      </c>
      <c r="B270" s="4" t="s">
        <v>88</v>
      </c>
      <c r="C270" s="4" t="s">
        <v>90</v>
      </c>
      <c r="F270" s="5">
        <v>42065.901593750001</v>
      </c>
      <c r="G270" s="4" t="s">
        <v>59</v>
      </c>
      <c r="AC270" s="4" t="s">
        <v>144</v>
      </c>
      <c r="AD270" s="4" t="s">
        <v>143</v>
      </c>
      <c r="AE270" s="4" t="s">
        <v>18</v>
      </c>
      <c r="AF270" s="4" t="s">
        <v>94</v>
      </c>
      <c r="AI270" s="4">
        <v>9.1376600000000003</v>
      </c>
      <c r="AJ270" s="4" t="s">
        <v>142</v>
      </c>
      <c r="AK270" s="4" t="s">
        <v>141</v>
      </c>
    </row>
    <row r="271" spans="1:38">
      <c r="A271" s="4" t="s">
        <v>89</v>
      </c>
      <c r="B271" s="4" t="s">
        <v>88</v>
      </c>
      <c r="C271" s="4" t="s">
        <v>90</v>
      </c>
      <c r="F271" s="5">
        <v>42065.901597222219</v>
      </c>
      <c r="G271" s="4" t="s">
        <v>98</v>
      </c>
      <c r="N271" s="4" t="s">
        <v>206</v>
      </c>
      <c r="AL271" s="4" t="s">
        <v>295</v>
      </c>
    </row>
    <row r="272" spans="1:38">
      <c r="A272" s="4" t="s">
        <v>89</v>
      </c>
      <c r="B272" s="4" t="s">
        <v>88</v>
      </c>
      <c r="C272" s="4" t="s">
        <v>90</v>
      </c>
      <c r="F272" s="5">
        <v>42065.901598344906</v>
      </c>
      <c r="G272" s="4" t="s">
        <v>59</v>
      </c>
      <c r="AC272" s="4" t="s">
        <v>144</v>
      </c>
      <c r="AD272" s="4" t="s">
        <v>143</v>
      </c>
      <c r="AE272" s="4" t="s">
        <v>18</v>
      </c>
      <c r="AF272" s="4" t="s">
        <v>94</v>
      </c>
      <c r="AI272" s="4">
        <v>10.60464</v>
      </c>
      <c r="AJ272" s="4" t="s">
        <v>142</v>
      </c>
      <c r="AK272" s="4" t="s">
        <v>141</v>
      </c>
    </row>
    <row r="273" spans="1:38">
      <c r="A273" s="4" t="s">
        <v>89</v>
      </c>
      <c r="B273" s="4" t="s">
        <v>88</v>
      </c>
      <c r="C273" s="4" t="s">
        <v>90</v>
      </c>
      <c r="F273" s="5">
        <v>42065.901608946762</v>
      </c>
      <c r="G273" s="4" t="s">
        <v>59</v>
      </c>
      <c r="AC273" s="4" t="s">
        <v>144</v>
      </c>
      <c r="AD273" s="4" t="s">
        <v>143</v>
      </c>
      <c r="AE273" s="4" t="s">
        <v>18</v>
      </c>
      <c r="AF273" s="4" t="s">
        <v>94</v>
      </c>
      <c r="AI273" s="4">
        <v>10.92666</v>
      </c>
      <c r="AJ273" s="4" t="s">
        <v>142</v>
      </c>
      <c r="AK273" s="4" t="s">
        <v>141</v>
      </c>
    </row>
    <row r="274" spans="1:38">
      <c r="A274" s="4" t="s">
        <v>89</v>
      </c>
      <c r="B274" s="4" t="s">
        <v>88</v>
      </c>
      <c r="C274" s="4" t="s">
        <v>90</v>
      </c>
      <c r="F274" s="5">
        <v>42065.90160902778</v>
      </c>
      <c r="G274" s="4" t="s">
        <v>59</v>
      </c>
      <c r="AC274" s="4" t="s">
        <v>165</v>
      </c>
      <c r="AD274" s="4" t="s">
        <v>164</v>
      </c>
      <c r="AE274" s="4" t="s">
        <v>18</v>
      </c>
      <c r="AF274" s="4" t="s">
        <v>94</v>
      </c>
      <c r="AI274" s="4">
        <v>0</v>
      </c>
      <c r="AJ274" s="4" t="s">
        <v>163</v>
      </c>
      <c r="AK274" s="4" t="s">
        <v>162</v>
      </c>
    </row>
    <row r="275" spans="1:38">
      <c r="A275" s="4" t="s">
        <v>89</v>
      </c>
      <c r="B275" s="4" t="s">
        <v>88</v>
      </c>
      <c r="C275" s="4" t="s">
        <v>90</v>
      </c>
      <c r="F275" s="5">
        <v>42065.90160902778</v>
      </c>
      <c r="G275" s="4" t="s">
        <v>59</v>
      </c>
      <c r="AC275" s="4" t="s">
        <v>280</v>
      </c>
      <c r="AD275" s="4" t="s">
        <v>279</v>
      </c>
      <c r="AE275" s="4" t="s">
        <v>18</v>
      </c>
      <c r="AF275" s="4" t="s">
        <v>94</v>
      </c>
      <c r="AI275" s="4">
        <v>0</v>
      </c>
      <c r="AJ275" s="4" t="s">
        <v>272</v>
      </c>
      <c r="AK275" s="4" t="s">
        <v>271</v>
      </c>
    </row>
    <row r="276" spans="1:38">
      <c r="A276" s="4" t="s">
        <v>89</v>
      </c>
      <c r="B276" s="4" t="s">
        <v>88</v>
      </c>
      <c r="C276" s="4" t="s">
        <v>90</v>
      </c>
      <c r="F276" s="5">
        <v>42065.90160902778</v>
      </c>
      <c r="G276" s="4" t="s">
        <v>98</v>
      </c>
      <c r="N276" s="4" t="s">
        <v>296</v>
      </c>
      <c r="AL276" s="4" t="s">
        <v>297</v>
      </c>
    </row>
    <row r="277" spans="1:38">
      <c r="A277" s="4" t="s">
        <v>89</v>
      </c>
      <c r="B277" s="4" t="s">
        <v>88</v>
      </c>
      <c r="C277" s="4" t="s">
        <v>90</v>
      </c>
      <c r="F277" s="5">
        <v>42065.90160902778</v>
      </c>
      <c r="G277" s="4" t="s">
        <v>59</v>
      </c>
      <c r="AC277" s="4" t="s">
        <v>282</v>
      </c>
      <c r="AD277" s="4" t="s">
        <v>281</v>
      </c>
      <c r="AE277" s="4" t="s">
        <v>18</v>
      </c>
      <c r="AF277" s="4" t="s">
        <v>94</v>
      </c>
      <c r="AI277" s="4">
        <v>0</v>
      </c>
      <c r="AJ277" s="4" t="s">
        <v>272</v>
      </c>
      <c r="AK277" s="4" t="s">
        <v>271</v>
      </c>
    </row>
    <row r="278" spans="1:38">
      <c r="A278" s="4" t="s">
        <v>89</v>
      </c>
      <c r="B278" s="4" t="s">
        <v>88</v>
      </c>
      <c r="C278" s="4" t="s">
        <v>90</v>
      </c>
      <c r="F278" s="5">
        <v>42065.90160902778</v>
      </c>
      <c r="G278" s="4" t="s">
        <v>59</v>
      </c>
      <c r="AC278" s="4" t="s">
        <v>274</v>
      </c>
      <c r="AD278" s="4" t="s">
        <v>273</v>
      </c>
      <c r="AE278" s="4" t="s">
        <v>18</v>
      </c>
      <c r="AF278" s="4" t="s">
        <v>94</v>
      </c>
      <c r="AI278" s="4">
        <v>9.7085838317871094</v>
      </c>
      <c r="AJ278" s="4" t="s">
        <v>272</v>
      </c>
      <c r="AK278" s="4" t="s">
        <v>271</v>
      </c>
    </row>
    <row r="279" spans="1:38">
      <c r="A279" s="4" t="s">
        <v>89</v>
      </c>
      <c r="B279" s="4" t="s">
        <v>88</v>
      </c>
      <c r="C279" s="4" t="s">
        <v>90</v>
      </c>
      <c r="F279" s="5">
        <v>42065.901609062501</v>
      </c>
      <c r="G279" s="4" t="s">
        <v>59</v>
      </c>
      <c r="AC279" s="4" t="s">
        <v>299</v>
      </c>
      <c r="AD279" s="4" t="s">
        <v>298</v>
      </c>
      <c r="AE279" s="4" t="s">
        <v>18</v>
      </c>
      <c r="AF279" s="4" t="s">
        <v>94</v>
      </c>
      <c r="AI279" s="4">
        <v>1</v>
      </c>
      <c r="AJ279" s="4" t="s">
        <v>18</v>
      </c>
      <c r="AK279" s="4" t="s">
        <v>91</v>
      </c>
    </row>
    <row r="280" spans="1:38">
      <c r="A280" s="4" t="s">
        <v>89</v>
      </c>
      <c r="B280" s="4" t="s">
        <v>88</v>
      </c>
      <c r="C280" s="4" t="s">
        <v>90</v>
      </c>
      <c r="F280" s="5">
        <v>42065.901609062501</v>
      </c>
      <c r="G280" s="4" t="s">
        <v>59</v>
      </c>
      <c r="AC280" s="4" t="s">
        <v>301</v>
      </c>
      <c r="AD280" s="4" t="s">
        <v>300</v>
      </c>
      <c r="AE280" s="4" t="s">
        <v>18</v>
      </c>
      <c r="AF280" s="4" t="s">
        <v>94</v>
      </c>
      <c r="AI280" s="4">
        <v>-1</v>
      </c>
      <c r="AJ280" s="4" t="s">
        <v>18</v>
      </c>
      <c r="AK280" s="4" t="s">
        <v>91</v>
      </c>
    </row>
    <row r="281" spans="1:38">
      <c r="A281" s="4" t="s">
        <v>89</v>
      </c>
      <c r="B281" s="4" t="s">
        <v>88</v>
      </c>
      <c r="C281" s="4" t="s">
        <v>90</v>
      </c>
      <c r="F281" s="5">
        <v>42065.901609108798</v>
      </c>
      <c r="G281" s="4" t="s">
        <v>98</v>
      </c>
      <c r="N281" s="4" t="s">
        <v>289</v>
      </c>
      <c r="AL281" s="4" t="s">
        <v>181</v>
      </c>
    </row>
    <row r="282" spans="1:38">
      <c r="A282" s="4" t="s">
        <v>89</v>
      </c>
      <c r="B282" s="4" t="s">
        <v>88</v>
      </c>
      <c r="C282" s="4" t="s">
        <v>90</v>
      </c>
      <c r="F282" s="5">
        <v>42065.901609108798</v>
      </c>
      <c r="G282" s="4" t="s">
        <v>98</v>
      </c>
      <c r="N282" s="4" t="s">
        <v>288</v>
      </c>
      <c r="AL282" s="4" t="s">
        <v>302</v>
      </c>
    </row>
    <row r="283" spans="1:38">
      <c r="A283" s="4" t="s">
        <v>89</v>
      </c>
      <c r="B283" s="4" t="s">
        <v>88</v>
      </c>
      <c r="C283" s="4" t="s">
        <v>90</v>
      </c>
      <c r="F283" s="5">
        <v>42065.901609108798</v>
      </c>
      <c r="G283" s="4" t="s">
        <v>98</v>
      </c>
      <c r="N283" s="4" t="s">
        <v>262</v>
      </c>
      <c r="AL283" s="4" t="s">
        <v>263</v>
      </c>
    </row>
    <row r="284" spans="1:38">
      <c r="A284" s="4" t="s">
        <v>89</v>
      </c>
      <c r="B284" s="4" t="s">
        <v>88</v>
      </c>
      <c r="C284" s="4" t="s">
        <v>90</v>
      </c>
      <c r="F284" s="5">
        <v>42065.901609143519</v>
      </c>
      <c r="G284" s="4" t="s">
        <v>59</v>
      </c>
      <c r="AC284" s="4" t="s">
        <v>278</v>
      </c>
      <c r="AD284" s="4" t="s">
        <v>277</v>
      </c>
      <c r="AE284" s="4" t="s">
        <v>18</v>
      </c>
      <c r="AF284" s="4" t="s">
        <v>94</v>
      </c>
      <c r="AI284" s="4">
        <v>1</v>
      </c>
      <c r="AJ284" s="4" t="s">
        <v>18</v>
      </c>
      <c r="AK284" s="4" t="s">
        <v>91</v>
      </c>
    </row>
    <row r="285" spans="1:38">
      <c r="A285" s="4" t="s">
        <v>89</v>
      </c>
      <c r="B285" s="4" t="s">
        <v>88</v>
      </c>
      <c r="C285" s="4" t="s">
        <v>90</v>
      </c>
      <c r="F285" s="5">
        <v>42065.90160917824</v>
      </c>
      <c r="G285" s="4" t="s">
        <v>59</v>
      </c>
      <c r="AC285" s="4" t="s">
        <v>304</v>
      </c>
      <c r="AD285" s="4" t="s">
        <v>303</v>
      </c>
      <c r="AE285" s="4" t="s">
        <v>18</v>
      </c>
      <c r="AF285" s="4" t="s">
        <v>94</v>
      </c>
      <c r="AI285" s="4">
        <v>-1</v>
      </c>
      <c r="AJ285" s="4" t="s">
        <v>18</v>
      </c>
      <c r="AK285" s="4" t="s">
        <v>91</v>
      </c>
    </row>
    <row r="286" spans="1:38">
      <c r="A286" s="4" t="s">
        <v>89</v>
      </c>
      <c r="B286" s="4" t="s">
        <v>88</v>
      </c>
      <c r="C286" s="4" t="s">
        <v>90</v>
      </c>
      <c r="F286" s="5">
        <v>42065.901609293978</v>
      </c>
      <c r="G286" s="4" t="s">
        <v>59</v>
      </c>
      <c r="AC286" s="4" t="s">
        <v>306</v>
      </c>
      <c r="AD286" s="4" t="s">
        <v>305</v>
      </c>
      <c r="AE286" s="4" t="s">
        <v>18</v>
      </c>
      <c r="AF286" s="4" t="s">
        <v>94</v>
      </c>
      <c r="AI286" s="4">
        <v>-1</v>
      </c>
      <c r="AJ286" s="4" t="s">
        <v>18</v>
      </c>
      <c r="AK286" s="4" t="s">
        <v>91</v>
      </c>
    </row>
    <row r="287" spans="1:38">
      <c r="A287" s="4" t="s">
        <v>89</v>
      </c>
      <c r="B287" s="4" t="s">
        <v>88</v>
      </c>
      <c r="C287" s="4" t="s">
        <v>90</v>
      </c>
      <c r="F287" s="5">
        <v>42065.901609409724</v>
      </c>
      <c r="G287" s="4" t="s">
        <v>59</v>
      </c>
      <c r="AC287" s="4" t="s">
        <v>259</v>
      </c>
      <c r="AD287" s="4" t="s">
        <v>258</v>
      </c>
      <c r="AE287" s="4" t="s">
        <v>18</v>
      </c>
      <c r="AF287" s="4" t="s">
        <v>94</v>
      </c>
      <c r="AI287" s="4">
        <v>0.34</v>
      </c>
      <c r="AJ287" s="4" t="s">
        <v>257</v>
      </c>
      <c r="AK287" s="4" t="s">
        <v>256</v>
      </c>
    </row>
    <row r="288" spans="1:38">
      <c r="A288" s="4" t="s">
        <v>89</v>
      </c>
      <c r="B288" s="4" t="s">
        <v>88</v>
      </c>
      <c r="C288" s="4" t="s">
        <v>90</v>
      </c>
      <c r="F288" s="5">
        <v>42065.901609525463</v>
      </c>
      <c r="G288" s="4" t="s">
        <v>59</v>
      </c>
      <c r="AC288" s="4" t="s">
        <v>6</v>
      </c>
      <c r="AD288" s="4" t="s">
        <v>157</v>
      </c>
      <c r="AE288" s="4" t="s">
        <v>18</v>
      </c>
      <c r="AF288" s="4" t="s">
        <v>94</v>
      </c>
      <c r="AI288" s="4">
        <v>1</v>
      </c>
      <c r="AJ288" s="4" t="s">
        <v>18</v>
      </c>
      <c r="AK288" s="4" t="s">
        <v>91</v>
      </c>
    </row>
    <row r="289" spans="1:38">
      <c r="A289" s="4" t="s">
        <v>89</v>
      </c>
      <c r="B289" s="4" t="s">
        <v>88</v>
      </c>
      <c r="C289" s="4" t="s">
        <v>90</v>
      </c>
      <c r="F289" s="5">
        <v>42065.901609525463</v>
      </c>
      <c r="G289" s="4" t="s">
        <v>59</v>
      </c>
      <c r="AC289" s="4" t="s">
        <v>266</v>
      </c>
      <c r="AD289" s="4" t="s">
        <v>265</v>
      </c>
      <c r="AE289" s="4" t="s">
        <v>18</v>
      </c>
      <c r="AF289" s="4" t="s">
        <v>94</v>
      </c>
      <c r="AI289" s="4">
        <v>0.08</v>
      </c>
      <c r="AJ289" s="4" t="s">
        <v>257</v>
      </c>
      <c r="AK289" s="4" t="s">
        <v>256</v>
      </c>
    </row>
    <row r="290" spans="1:38">
      <c r="A290" s="4" t="s">
        <v>89</v>
      </c>
      <c r="B290" s="4" t="s">
        <v>88</v>
      </c>
      <c r="C290" s="4" t="s">
        <v>90</v>
      </c>
      <c r="F290" s="5">
        <v>42065.901609525463</v>
      </c>
      <c r="G290" s="4" t="s">
        <v>19</v>
      </c>
      <c r="H290" s="4">
        <v>0</v>
      </c>
      <c r="I290" s="4">
        <v>139.39483999999999</v>
      </c>
      <c r="J290" s="4">
        <v>35.585920000000002</v>
      </c>
      <c r="K290" s="4" t="s">
        <v>232</v>
      </c>
      <c r="N290" s="4" t="s">
        <v>6</v>
      </c>
      <c r="O290" s="4" t="b">
        <v>1</v>
      </c>
      <c r="P290" s="4" t="b">
        <v>0</v>
      </c>
      <c r="Q290" s="4" t="b">
        <v>0</v>
      </c>
      <c r="R290" s="4" t="b">
        <v>0</v>
      </c>
      <c r="S290" s="4" t="b">
        <v>0</v>
      </c>
      <c r="T290" s="4" t="b">
        <v>0</v>
      </c>
      <c r="U290" s="4" t="b">
        <v>0</v>
      </c>
      <c r="V290" s="4" t="b">
        <v>0</v>
      </c>
      <c r="W290" s="4" t="b">
        <v>0</v>
      </c>
      <c r="X290" s="4" t="b">
        <v>1</v>
      </c>
      <c r="Y290" s="4" t="b">
        <v>1</v>
      </c>
    </row>
    <row r="291" spans="1:38">
      <c r="A291" s="4" t="s">
        <v>89</v>
      </c>
      <c r="B291" s="4" t="s">
        <v>88</v>
      </c>
      <c r="C291" s="4" t="s">
        <v>90</v>
      </c>
      <c r="F291" s="5">
        <v>42065.901609918983</v>
      </c>
      <c r="G291" s="4" t="s">
        <v>59</v>
      </c>
      <c r="AC291" s="4" t="s">
        <v>144</v>
      </c>
      <c r="AD291" s="4" t="s">
        <v>143</v>
      </c>
      <c r="AE291" s="4" t="s">
        <v>18</v>
      </c>
      <c r="AF291" s="4" t="s">
        <v>94</v>
      </c>
      <c r="AI291" s="4">
        <v>11.64226</v>
      </c>
      <c r="AJ291" s="4" t="s">
        <v>142</v>
      </c>
      <c r="AK291" s="4" t="s">
        <v>141</v>
      </c>
    </row>
    <row r="292" spans="1:38">
      <c r="A292" s="4" t="s">
        <v>89</v>
      </c>
      <c r="B292" s="4" t="s">
        <v>88</v>
      </c>
      <c r="C292" s="4" t="s">
        <v>90</v>
      </c>
      <c r="F292" s="5">
        <v>42065.901620370372</v>
      </c>
      <c r="G292" s="4" t="s">
        <v>19</v>
      </c>
      <c r="H292" s="4">
        <v>0</v>
      </c>
      <c r="I292" s="4">
        <v>139.39483999999999</v>
      </c>
      <c r="J292" s="4">
        <v>35.585970000000003</v>
      </c>
      <c r="K292" s="4" t="s">
        <v>232</v>
      </c>
      <c r="N292" s="4" t="s">
        <v>159</v>
      </c>
      <c r="O292" s="4" t="b">
        <v>1</v>
      </c>
      <c r="P292" s="4" t="b">
        <v>0</v>
      </c>
      <c r="Q292" s="4" t="b">
        <v>0</v>
      </c>
      <c r="R292" s="4" t="b">
        <v>0</v>
      </c>
      <c r="S292" s="4" t="b">
        <v>0</v>
      </c>
      <c r="T292" s="4" t="b">
        <v>0</v>
      </c>
      <c r="U292" s="4" t="b">
        <v>0</v>
      </c>
      <c r="V292" s="4" t="b">
        <v>0</v>
      </c>
      <c r="W292" s="4" t="b">
        <v>0</v>
      </c>
      <c r="X292" s="4" t="b">
        <v>1</v>
      </c>
      <c r="Y292" s="4" t="b">
        <v>1</v>
      </c>
    </row>
    <row r="293" spans="1:38">
      <c r="A293" s="4" t="s">
        <v>89</v>
      </c>
      <c r="B293" s="4" t="s">
        <v>88</v>
      </c>
      <c r="C293" s="4" t="s">
        <v>90</v>
      </c>
      <c r="F293" s="5">
        <v>42065.901620370372</v>
      </c>
      <c r="G293" s="4" t="s">
        <v>98</v>
      </c>
      <c r="N293" s="4" t="s">
        <v>206</v>
      </c>
      <c r="AL293" s="4" t="s">
        <v>208</v>
      </c>
    </row>
    <row r="294" spans="1:38">
      <c r="A294" s="4" t="s">
        <v>89</v>
      </c>
      <c r="B294" s="4" t="s">
        <v>88</v>
      </c>
      <c r="C294" s="4" t="s">
        <v>90</v>
      </c>
      <c r="F294" s="5">
        <v>42065.901620717596</v>
      </c>
      <c r="G294" s="4" t="s">
        <v>59</v>
      </c>
      <c r="AC294" s="4" t="s">
        <v>165</v>
      </c>
      <c r="AD294" s="4" t="s">
        <v>164</v>
      </c>
      <c r="AE294" s="4" t="s">
        <v>18</v>
      </c>
      <c r="AF294" s="4" t="s">
        <v>94</v>
      </c>
      <c r="AI294" s="4">
        <v>1069.5</v>
      </c>
      <c r="AJ294" s="4" t="s">
        <v>163</v>
      </c>
      <c r="AK294" s="4" t="s">
        <v>162</v>
      </c>
    </row>
    <row r="295" spans="1:38">
      <c r="A295" s="4" t="s">
        <v>89</v>
      </c>
      <c r="B295" s="4" t="s">
        <v>88</v>
      </c>
      <c r="C295" s="4" t="s">
        <v>90</v>
      </c>
      <c r="F295" s="5">
        <v>42065.901628472224</v>
      </c>
      <c r="G295" s="4" t="s">
        <v>59</v>
      </c>
      <c r="AC295" s="4" t="s">
        <v>217</v>
      </c>
      <c r="AD295" s="4" t="s">
        <v>216</v>
      </c>
      <c r="AE295" s="4" t="s">
        <v>18</v>
      </c>
      <c r="AF295" s="4" t="s">
        <v>94</v>
      </c>
      <c r="AI295" s="4">
        <v>12.1066666</v>
      </c>
      <c r="AJ295" s="4" t="s">
        <v>142</v>
      </c>
      <c r="AK295" s="4" t="s">
        <v>141</v>
      </c>
    </row>
    <row r="296" spans="1:38">
      <c r="A296" s="4" t="s">
        <v>89</v>
      </c>
      <c r="B296" s="4" t="s">
        <v>88</v>
      </c>
      <c r="C296" s="4" t="s">
        <v>90</v>
      </c>
      <c r="F296" s="5">
        <v>42065.901637731484</v>
      </c>
      <c r="G296" s="4" t="s">
        <v>59</v>
      </c>
      <c r="AC296" s="4" t="s">
        <v>144</v>
      </c>
      <c r="AD296" s="4" t="s">
        <v>143</v>
      </c>
      <c r="AE296" s="4" t="s">
        <v>18</v>
      </c>
      <c r="AF296" s="4" t="s">
        <v>94</v>
      </c>
      <c r="AI296" s="4">
        <v>12.32208</v>
      </c>
      <c r="AJ296" s="4" t="s">
        <v>142</v>
      </c>
      <c r="AK296" s="4" t="s">
        <v>141</v>
      </c>
    </row>
    <row r="297" spans="1:38">
      <c r="A297" s="4" t="s">
        <v>89</v>
      </c>
      <c r="B297" s="4" t="s">
        <v>88</v>
      </c>
      <c r="C297" s="4" t="s">
        <v>90</v>
      </c>
      <c r="F297" s="5">
        <v>42065.901643518519</v>
      </c>
      <c r="G297" s="4" t="s">
        <v>98</v>
      </c>
      <c r="N297" s="4" t="s">
        <v>206</v>
      </c>
      <c r="AL297" s="4" t="s">
        <v>208</v>
      </c>
    </row>
    <row r="298" spans="1:38">
      <c r="A298" s="4" t="s">
        <v>89</v>
      </c>
      <c r="B298" s="4" t="s">
        <v>88</v>
      </c>
      <c r="C298" s="4" t="s">
        <v>90</v>
      </c>
      <c r="F298" s="5">
        <v>42065.901646956016</v>
      </c>
      <c r="G298" s="4" t="s">
        <v>59</v>
      </c>
      <c r="AC298" s="4" t="s">
        <v>144</v>
      </c>
      <c r="AD298" s="4" t="s">
        <v>143</v>
      </c>
      <c r="AE298" s="4" t="s">
        <v>18</v>
      </c>
      <c r="AF298" s="4" t="s">
        <v>94</v>
      </c>
      <c r="AI298" s="4">
        <v>12.858780000000001</v>
      </c>
      <c r="AJ298" s="4" t="s">
        <v>142</v>
      </c>
      <c r="AK298" s="4" t="s">
        <v>141</v>
      </c>
    </row>
    <row r="299" spans="1:38">
      <c r="A299" s="4" t="s">
        <v>89</v>
      </c>
      <c r="B299" s="4" t="s">
        <v>88</v>
      </c>
      <c r="C299" s="4" t="s">
        <v>90</v>
      </c>
      <c r="F299" s="5">
        <v>42065.901652743058</v>
      </c>
      <c r="G299" s="4" t="s">
        <v>59</v>
      </c>
      <c r="AC299" s="4" t="s">
        <v>144</v>
      </c>
      <c r="AD299" s="4" t="s">
        <v>143</v>
      </c>
      <c r="AE299" s="4" t="s">
        <v>18</v>
      </c>
      <c r="AF299" s="4" t="s">
        <v>94</v>
      </c>
      <c r="AI299" s="4">
        <v>12.930340000000001</v>
      </c>
      <c r="AJ299" s="4" t="s">
        <v>142</v>
      </c>
      <c r="AK299" s="4" t="s">
        <v>141</v>
      </c>
    </row>
    <row r="300" spans="1:38">
      <c r="A300" s="4" t="s">
        <v>89</v>
      </c>
      <c r="B300" s="4" t="s">
        <v>88</v>
      </c>
      <c r="C300" s="4" t="s">
        <v>90</v>
      </c>
      <c r="F300" s="5">
        <v>42065.901656215276</v>
      </c>
      <c r="G300" s="4" t="s">
        <v>59</v>
      </c>
      <c r="AC300" s="4" t="s">
        <v>144</v>
      </c>
      <c r="AD300" s="4" t="s">
        <v>143</v>
      </c>
      <c r="AE300" s="4" t="s">
        <v>18</v>
      </c>
      <c r="AF300" s="4" t="s">
        <v>94</v>
      </c>
      <c r="AI300" s="4">
        <v>12.214740000000001</v>
      </c>
      <c r="AJ300" s="4" t="s">
        <v>142</v>
      </c>
      <c r="AK300" s="4" t="s">
        <v>141</v>
      </c>
    </row>
    <row r="301" spans="1:38">
      <c r="A301" s="4" t="s">
        <v>89</v>
      </c>
      <c r="B301" s="4" t="s">
        <v>88</v>
      </c>
      <c r="C301" s="4" t="s">
        <v>90</v>
      </c>
      <c r="F301" s="5">
        <v>42065.901665474536</v>
      </c>
      <c r="G301" s="4" t="s">
        <v>59</v>
      </c>
      <c r="AC301" s="4" t="s">
        <v>144</v>
      </c>
      <c r="AD301" s="4" t="s">
        <v>143</v>
      </c>
      <c r="AE301" s="4" t="s">
        <v>18</v>
      </c>
      <c r="AF301" s="4" t="s">
        <v>94</v>
      </c>
      <c r="AI301" s="4">
        <v>12.89456</v>
      </c>
      <c r="AJ301" s="4" t="s">
        <v>142</v>
      </c>
      <c r="AK301" s="4" t="s">
        <v>141</v>
      </c>
    </row>
    <row r="302" spans="1:38">
      <c r="A302" s="4" t="s">
        <v>89</v>
      </c>
      <c r="B302" s="4" t="s">
        <v>88</v>
      </c>
      <c r="C302" s="4" t="s">
        <v>90</v>
      </c>
      <c r="F302" s="5">
        <v>42065.901724687501</v>
      </c>
      <c r="G302" s="4" t="s">
        <v>98</v>
      </c>
      <c r="N302" s="4" t="s">
        <v>194</v>
      </c>
      <c r="AL302" s="4" t="s">
        <v>181</v>
      </c>
    </row>
    <row r="303" spans="1:38">
      <c r="A303" s="4" t="s">
        <v>89</v>
      </c>
      <c r="B303" s="4" t="s">
        <v>88</v>
      </c>
      <c r="C303" s="4" t="s">
        <v>90</v>
      </c>
      <c r="F303" s="5">
        <v>42065.901744212963</v>
      </c>
      <c r="G303" s="4" t="s">
        <v>59</v>
      </c>
      <c r="AC303" s="4" t="s">
        <v>217</v>
      </c>
      <c r="AD303" s="4" t="s">
        <v>216</v>
      </c>
      <c r="AE303" s="4" t="s">
        <v>18</v>
      </c>
      <c r="AF303" s="4" t="s">
        <v>94</v>
      </c>
      <c r="AI303" s="4">
        <v>13.287333500000001</v>
      </c>
      <c r="AJ303" s="4" t="s">
        <v>142</v>
      </c>
      <c r="AK303" s="4" t="s">
        <v>141</v>
      </c>
    </row>
    <row r="304" spans="1:38">
      <c r="A304" s="4" t="s">
        <v>89</v>
      </c>
      <c r="B304" s="4" t="s">
        <v>88</v>
      </c>
      <c r="C304" s="4" t="s">
        <v>90</v>
      </c>
      <c r="F304" s="5">
        <v>42065.901832986114</v>
      </c>
      <c r="G304" s="4" t="s">
        <v>98</v>
      </c>
      <c r="N304" s="4" t="s">
        <v>290</v>
      </c>
      <c r="AL304" s="4" t="s">
        <v>291</v>
      </c>
    </row>
    <row r="305" spans="1:38">
      <c r="A305" s="4" t="s">
        <v>89</v>
      </c>
      <c r="B305" s="4" t="s">
        <v>88</v>
      </c>
      <c r="C305" s="4" t="s">
        <v>90</v>
      </c>
      <c r="F305" s="5">
        <v>42065.901834027776</v>
      </c>
      <c r="G305" s="4" t="s">
        <v>59</v>
      </c>
      <c r="AC305" s="4" t="s">
        <v>203</v>
      </c>
      <c r="AD305" s="4" t="s">
        <v>202</v>
      </c>
      <c r="AE305" s="4" t="s">
        <v>18</v>
      </c>
      <c r="AF305" s="4" t="s">
        <v>94</v>
      </c>
      <c r="AI305" s="4">
        <v>48</v>
      </c>
      <c r="AJ305" s="4" t="s">
        <v>201</v>
      </c>
      <c r="AK305" s="4" t="s">
        <v>200</v>
      </c>
    </row>
    <row r="306" spans="1:38">
      <c r="A306" s="4" t="s">
        <v>89</v>
      </c>
      <c r="B306" s="4" t="s">
        <v>88</v>
      </c>
      <c r="C306" s="4" t="s">
        <v>90</v>
      </c>
      <c r="F306" s="5">
        <v>42065.901834525466</v>
      </c>
      <c r="G306" s="4" t="s">
        <v>98</v>
      </c>
      <c r="N306" s="4" t="s">
        <v>253</v>
      </c>
      <c r="AL306" s="4" t="s">
        <v>254</v>
      </c>
    </row>
    <row r="307" spans="1:38">
      <c r="A307" s="4" t="s">
        <v>89</v>
      </c>
      <c r="B307" s="4" t="s">
        <v>88</v>
      </c>
      <c r="C307" s="4" t="s">
        <v>90</v>
      </c>
      <c r="F307" s="5">
        <v>42065.901852581017</v>
      </c>
      <c r="G307" s="4" t="s">
        <v>19</v>
      </c>
      <c r="H307" s="4">
        <v>0</v>
      </c>
      <c r="I307" s="4">
        <v>139.39483999999999</v>
      </c>
      <c r="J307" s="4">
        <v>35.585970000000003</v>
      </c>
      <c r="K307" s="4" t="s">
        <v>232</v>
      </c>
      <c r="N307" s="4" t="s">
        <v>292</v>
      </c>
      <c r="O307" s="4" t="b">
        <v>1</v>
      </c>
      <c r="P307" s="4" t="b">
        <v>0</v>
      </c>
      <c r="Q307" s="4" t="b">
        <v>0</v>
      </c>
      <c r="R307" s="4" t="b">
        <v>0</v>
      </c>
      <c r="S307" s="4" t="b">
        <v>0</v>
      </c>
      <c r="T307" s="4" t="b">
        <v>0</v>
      </c>
      <c r="U307" s="4" t="b">
        <v>0</v>
      </c>
      <c r="V307" s="4" t="b">
        <v>0</v>
      </c>
      <c r="W307" s="4" t="b">
        <v>0</v>
      </c>
      <c r="X307" s="4" t="b">
        <v>1</v>
      </c>
      <c r="Y307" s="4" t="b">
        <v>1</v>
      </c>
    </row>
    <row r="308" spans="1:38">
      <c r="A308" s="4" t="s">
        <v>89</v>
      </c>
      <c r="B308" s="4" t="s">
        <v>88</v>
      </c>
      <c r="C308" s="4" t="s">
        <v>90</v>
      </c>
      <c r="F308" s="5">
        <v>42065.901852893519</v>
      </c>
      <c r="G308" s="4" t="s">
        <v>98</v>
      </c>
      <c r="N308" s="4" t="s">
        <v>293</v>
      </c>
      <c r="AL308" s="4" t="s">
        <v>294</v>
      </c>
    </row>
    <row r="309" spans="1:38">
      <c r="A309" s="4" t="s">
        <v>89</v>
      </c>
      <c r="B309" s="4" t="s">
        <v>88</v>
      </c>
      <c r="C309" s="4" t="s">
        <v>90</v>
      </c>
      <c r="F309" s="5">
        <v>42065.901859953701</v>
      </c>
      <c r="G309" s="4" t="s">
        <v>59</v>
      </c>
      <c r="AC309" s="4" t="s">
        <v>217</v>
      </c>
      <c r="AD309" s="4" t="s">
        <v>216</v>
      </c>
      <c r="AE309" s="4" t="s">
        <v>18</v>
      </c>
      <c r="AF309" s="4" t="s">
        <v>94</v>
      </c>
      <c r="AI309" s="4">
        <v>13.6093321</v>
      </c>
      <c r="AJ309" s="4" t="s">
        <v>142</v>
      </c>
      <c r="AK309" s="4" t="s">
        <v>141</v>
      </c>
    </row>
    <row r="310" spans="1:38">
      <c r="A310" s="4" t="s">
        <v>89</v>
      </c>
      <c r="B310" s="4" t="s">
        <v>88</v>
      </c>
      <c r="C310" s="4" t="s">
        <v>90</v>
      </c>
      <c r="F310" s="5">
        <v>42065.902702777777</v>
      </c>
      <c r="G310" s="4" t="s">
        <v>98</v>
      </c>
      <c r="N310" s="4" t="s">
        <v>307</v>
      </c>
      <c r="AL310" s="4" t="s">
        <v>308</v>
      </c>
    </row>
    <row r="311" spans="1:38">
      <c r="A311" s="4" t="s">
        <v>89</v>
      </c>
      <c r="B311" s="4" t="s">
        <v>88</v>
      </c>
      <c r="C311" s="4" t="s">
        <v>90</v>
      </c>
      <c r="F311" s="5">
        <v>42065.902702893516</v>
      </c>
      <c r="G311" s="4" t="s">
        <v>59</v>
      </c>
      <c r="AC311" s="4" t="s">
        <v>310</v>
      </c>
      <c r="AD311" s="4" t="s">
        <v>309</v>
      </c>
      <c r="AE311" s="4" t="s">
        <v>18</v>
      </c>
      <c r="AF311" s="4" t="s">
        <v>94</v>
      </c>
      <c r="AI311" s="4">
        <v>-1</v>
      </c>
      <c r="AJ311" s="4" t="s">
        <v>18</v>
      </c>
      <c r="AK311" s="4" t="s">
        <v>91</v>
      </c>
    </row>
    <row r="312" spans="1:38">
      <c r="A312" s="4" t="s">
        <v>89</v>
      </c>
      <c r="B312" s="4" t="s">
        <v>88</v>
      </c>
      <c r="C312" s="4" t="s">
        <v>90</v>
      </c>
      <c r="F312" s="5">
        <v>42065.902714270836</v>
      </c>
      <c r="G312" s="4" t="s">
        <v>98</v>
      </c>
      <c r="N312" s="4" t="s">
        <v>311</v>
      </c>
      <c r="AL312" s="4" t="s">
        <v>312</v>
      </c>
    </row>
    <row r="313" spans="1:38">
      <c r="A313" s="4" t="s">
        <v>89</v>
      </c>
      <c r="B313" s="4" t="s">
        <v>88</v>
      </c>
      <c r="C313" s="4" t="s">
        <v>90</v>
      </c>
      <c r="F313" s="5">
        <v>42065.902772222224</v>
      </c>
      <c r="G313" s="4" t="s">
        <v>59</v>
      </c>
      <c r="AC313" s="4" t="s">
        <v>310</v>
      </c>
      <c r="AD313" s="4" t="s">
        <v>309</v>
      </c>
      <c r="AE313" s="4" t="s">
        <v>18</v>
      </c>
      <c r="AF313" s="4" t="s">
        <v>94</v>
      </c>
      <c r="AI313" s="4">
        <v>0</v>
      </c>
      <c r="AJ313" s="4" t="s">
        <v>18</v>
      </c>
      <c r="AK313" s="4" t="s">
        <v>91</v>
      </c>
    </row>
    <row r="314" spans="1:38">
      <c r="A314" s="4" t="s">
        <v>89</v>
      </c>
      <c r="B314" s="4" t="s">
        <v>88</v>
      </c>
      <c r="C314" s="4" t="s">
        <v>90</v>
      </c>
      <c r="F314" s="5">
        <v>42065.90279521991</v>
      </c>
      <c r="G314" s="4" t="s">
        <v>98</v>
      </c>
      <c r="N314" s="4" t="s">
        <v>236</v>
      </c>
      <c r="AL314" s="4" t="s">
        <v>313</v>
      </c>
    </row>
    <row r="315" spans="1:38">
      <c r="A315" s="4" t="s">
        <v>89</v>
      </c>
      <c r="B315" s="4" t="s">
        <v>88</v>
      </c>
      <c r="C315" s="4" t="s">
        <v>90</v>
      </c>
      <c r="F315" s="5">
        <v>42065.902807025464</v>
      </c>
      <c r="G315" s="4" t="s">
        <v>98</v>
      </c>
      <c r="N315" s="4" t="s">
        <v>238</v>
      </c>
      <c r="AL315" s="4" t="s">
        <v>314</v>
      </c>
    </row>
    <row r="316" spans="1:38">
      <c r="A316" s="4" t="s">
        <v>89</v>
      </c>
      <c r="B316" s="4" t="s">
        <v>88</v>
      </c>
      <c r="C316" s="4" t="s">
        <v>90</v>
      </c>
      <c r="F316" s="5">
        <v>42065.902813275461</v>
      </c>
      <c r="G316" s="4" t="s">
        <v>98</v>
      </c>
      <c r="N316" s="4" t="s">
        <v>240</v>
      </c>
      <c r="AL316" s="4" t="s">
        <v>315</v>
      </c>
    </row>
    <row r="317" spans="1:38">
      <c r="A317" s="4" t="s">
        <v>89</v>
      </c>
      <c r="B317" s="4" t="s">
        <v>88</v>
      </c>
      <c r="C317" s="4" t="s">
        <v>90</v>
      </c>
      <c r="F317" s="5">
        <v>42065.902825034726</v>
      </c>
      <c r="G317" s="4" t="s">
        <v>98</v>
      </c>
      <c r="N317" s="4" t="s">
        <v>236</v>
      </c>
      <c r="AL317" s="4" t="s">
        <v>316</v>
      </c>
    </row>
    <row r="318" spans="1:38">
      <c r="A318" s="4" t="s">
        <v>89</v>
      </c>
      <c r="B318" s="4" t="s">
        <v>88</v>
      </c>
      <c r="C318" s="4" t="s">
        <v>90</v>
      </c>
      <c r="F318" s="5">
        <v>42065.902836770831</v>
      </c>
      <c r="G318" s="4" t="s">
        <v>98</v>
      </c>
      <c r="N318" s="4" t="s">
        <v>238</v>
      </c>
      <c r="AL318" s="4" t="s">
        <v>317</v>
      </c>
    </row>
    <row r="319" spans="1:38">
      <c r="A319" s="4" t="s">
        <v>89</v>
      </c>
      <c r="B319" s="4" t="s">
        <v>88</v>
      </c>
      <c r="C319" s="4" t="s">
        <v>90</v>
      </c>
      <c r="F319" s="5">
        <v>42065.90284722222</v>
      </c>
      <c r="G319" s="4" t="s">
        <v>19</v>
      </c>
      <c r="H319" s="4">
        <v>1</v>
      </c>
      <c r="I319" s="4">
        <v>139.39479</v>
      </c>
      <c r="J319" s="4">
        <v>35.58605</v>
      </c>
      <c r="K319" s="4" t="s">
        <v>232</v>
      </c>
      <c r="N319" s="4" t="s">
        <v>195</v>
      </c>
      <c r="O319" s="4" t="b">
        <v>1</v>
      </c>
      <c r="P319" s="4" t="b">
        <v>0</v>
      </c>
      <c r="Q319" s="4" t="b">
        <v>0</v>
      </c>
      <c r="R319" s="4" t="b">
        <v>0</v>
      </c>
      <c r="S319" s="4" t="b">
        <v>0</v>
      </c>
      <c r="T319" s="4" t="b">
        <v>0</v>
      </c>
      <c r="U319" s="4" t="b">
        <v>0</v>
      </c>
      <c r="V319" s="4" t="b">
        <v>0</v>
      </c>
      <c r="W319" s="4" t="b">
        <v>0</v>
      </c>
      <c r="X319" s="4" t="b">
        <v>1</v>
      </c>
      <c r="Y319" s="4" t="b">
        <v>1</v>
      </c>
    </row>
    <row r="320" spans="1:38">
      <c r="A320" s="4" t="s">
        <v>89</v>
      </c>
      <c r="B320" s="4" t="s">
        <v>88</v>
      </c>
      <c r="C320" s="4" t="s">
        <v>90</v>
      </c>
      <c r="F320" s="5">
        <v>42065.902848530095</v>
      </c>
      <c r="G320" s="4" t="s">
        <v>98</v>
      </c>
      <c r="N320" s="4" t="s">
        <v>318</v>
      </c>
      <c r="AL320" s="4" t="s">
        <v>319</v>
      </c>
    </row>
    <row r="321" spans="1:38">
      <c r="A321" s="4" t="s">
        <v>89</v>
      </c>
      <c r="B321" s="4" t="s">
        <v>88</v>
      </c>
      <c r="C321" s="4" t="s">
        <v>90</v>
      </c>
      <c r="F321" s="5">
        <v>42065.902848692131</v>
      </c>
      <c r="G321" s="4" t="s">
        <v>59</v>
      </c>
      <c r="AC321" s="4" t="s">
        <v>310</v>
      </c>
      <c r="AD321" s="4" t="s">
        <v>309</v>
      </c>
      <c r="AE321" s="4" t="s">
        <v>18</v>
      </c>
      <c r="AF321" s="4" t="s">
        <v>94</v>
      </c>
      <c r="AI321" s="4">
        <v>-1</v>
      </c>
      <c r="AJ321" s="4" t="s">
        <v>18</v>
      </c>
      <c r="AK321" s="4" t="s">
        <v>91</v>
      </c>
    </row>
    <row r="322" spans="1:38">
      <c r="A322" s="4" t="s">
        <v>89</v>
      </c>
      <c r="B322" s="4" t="s">
        <v>88</v>
      </c>
      <c r="C322" s="4" t="s">
        <v>90</v>
      </c>
      <c r="F322" s="5">
        <v>42065.902858796297</v>
      </c>
      <c r="G322" s="4" t="s">
        <v>19</v>
      </c>
      <c r="H322" s="4">
        <v>0</v>
      </c>
      <c r="I322" s="4">
        <v>139.39479</v>
      </c>
      <c r="J322" s="4">
        <v>35.58605</v>
      </c>
      <c r="K322" s="4" t="s">
        <v>232</v>
      </c>
      <c r="N322" s="4" t="s">
        <v>195</v>
      </c>
      <c r="O322" s="4" t="b">
        <v>1</v>
      </c>
      <c r="P322" s="4" t="b">
        <v>0</v>
      </c>
      <c r="Q322" s="4" t="b">
        <v>0</v>
      </c>
      <c r="R322" s="4" t="b">
        <v>0</v>
      </c>
      <c r="S322" s="4" t="b">
        <v>0</v>
      </c>
      <c r="T322" s="4" t="b">
        <v>0</v>
      </c>
      <c r="U322" s="4" t="b">
        <v>0</v>
      </c>
      <c r="V322" s="4" t="b">
        <v>0</v>
      </c>
      <c r="W322" s="4" t="b">
        <v>0</v>
      </c>
      <c r="X322" s="4" t="b">
        <v>1</v>
      </c>
      <c r="Y322" s="4" t="b">
        <v>1</v>
      </c>
    </row>
    <row r="323" spans="1:38">
      <c r="A323" s="4" t="s">
        <v>89</v>
      </c>
      <c r="B323" s="4" t="s">
        <v>88</v>
      </c>
      <c r="C323" s="4" t="s">
        <v>90</v>
      </c>
      <c r="F323" s="5">
        <v>42065.902870370373</v>
      </c>
      <c r="G323" s="4" t="s">
        <v>19</v>
      </c>
      <c r="H323" s="4">
        <v>1</v>
      </c>
      <c r="I323" s="4">
        <v>139.39479</v>
      </c>
      <c r="J323" s="4">
        <v>35.58605</v>
      </c>
      <c r="K323" s="4" t="s">
        <v>232</v>
      </c>
      <c r="N323" s="4" t="s">
        <v>195</v>
      </c>
      <c r="O323" s="4" t="b">
        <v>1</v>
      </c>
      <c r="P323" s="4" t="b">
        <v>0</v>
      </c>
      <c r="Q323" s="4" t="b">
        <v>0</v>
      </c>
      <c r="R323" s="4" t="b">
        <v>0</v>
      </c>
      <c r="S323" s="4" t="b">
        <v>0</v>
      </c>
      <c r="T323" s="4" t="b">
        <v>0</v>
      </c>
      <c r="U323" s="4" t="b">
        <v>0</v>
      </c>
      <c r="V323" s="4" t="b">
        <v>0</v>
      </c>
      <c r="W323" s="4" t="b">
        <v>0</v>
      </c>
      <c r="X323" s="4" t="b">
        <v>1</v>
      </c>
      <c r="Y323" s="4" t="b">
        <v>1</v>
      </c>
    </row>
    <row r="324" spans="1:38">
      <c r="A324" s="4" t="s">
        <v>89</v>
      </c>
      <c r="B324" s="4" t="s">
        <v>88</v>
      </c>
      <c r="C324" s="4" t="s">
        <v>90</v>
      </c>
      <c r="F324" s="5">
        <v>42065.902997685182</v>
      </c>
      <c r="G324" s="4" t="s">
        <v>19</v>
      </c>
      <c r="H324" s="4">
        <v>4</v>
      </c>
      <c r="I324" s="4">
        <v>139.39474999999999</v>
      </c>
      <c r="J324" s="4">
        <v>35.586069999999999</v>
      </c>
      <c r="K324" s="4" t="s">
        <v>232</v>
      </c>
      <c r="N324" s="4" t="s">
        <v>224</v>
      </c>
      <c r="O324" s="4" t="b">
        <v>1</v>
      </c>
      <c r="P324" s="4" t="b">
        <v>0</v>
      </c>
      <c r="Q324" s="4" t="b">
        <v>0</v>
      </c>
      <c r="R324" s="4" t="b">
        <v>0</v>
      </c>
      <c r="S324" s="4" t="b">
        <v>0</v>
      </c>
      <c r="T324" s="4" t="b">
        <v>0</v>
      </c>
      <c r="U324" s="4" t="b">
        <v>0</v>
      </c>
      <c r="V324" s="4" t="b">
        <v>0</v>
      </c>
      <c r="W324" s="4" t="b">
        <v>0</v>
      </c>
      <c r="X324" s="4" t="b">
        <v>1</v>
      </c>
      <c r="Y324" s="4" t="b">
        <v>1</v>
      </c>
    </row>
    <row r="325" spans="1:38">
      <c r="A325" s="4" t="s">
        <v>89</v>
      </c>
      <c r="B325" s="4" t="s">
        <v>88</v>
      </c>
      <c r="C325" s="4" t="s">
        <v>90</v>
      </c>
      <c r="F325" s="5">
        <v>42065.903015243057</v>
      </c>
      <c r="G325" s="4" t="s">
        <v>98</v>
      </c>
      <c r="N325" s="4" t="s">
        <v>311</v>
      </c>
      <c r="AL325" s="4" t="s">
        <v>320</v>
      </c>
    </row>
    <row r="326" spans="1:38">
      <c r="A326" s="4" t="s">
        <v>89</v>
      </c>
      <c r="B326" s="4" t="s">
        <v>88</v>
      </c>
      <c r="C326" s="4" t="s">
        <v>90</v>
      </c>
      <c r="F326" s="5">
        <v>42065.903020833335</v>
      </c>
      <c r="G326" s="4" t="s">
        <v>19</v>
      </c>
      <c r="H326" s="4">
        <v>0</v>
      </c>
      <c r="I326" s="4">
        <v>139.39474999999999</v>
      </c>
      <c r="J326" s="4">
        <v>35.586069999999999</v>
      </c>
      <c r="K326" s="4" t="s">
        <v>232</v>
      </c>
      <c r="N326" s="4" t="s">
        <v>195</v>
      </c>
      <c r="O326" s="4" t="b">
        <v>1</v>
      </c>
      <c r="P326" s="4" t="b">
        <v>0</v>
      </c>
      <c r="Q326" s="4" t="b">
        <v>0</v>
      </c>
      <c r="R326" s="4" t="b">
        <v>0</v>
      </c>
      <c r="S326" s="4" t="b">
        <v>0</v>
      </c>
      <c r="T326" s="4" t="b">
        <v>0</v>
      </c>
      <c r="U326" s="4" t="b">
        <v>0</v>
      </c>
      <c r="V326" s="4" t="b">
        <v>0</v>
      </c>
      <c r="W326" s="4" t="b">
        <v>0</v>
      </c>
      <c r="X326" s="4" t="b">
        <v>1</v>
      </c>
      <c r="Y326" s="4" t="b">
        <v>1</v>
      </c>
    </row>
    <row r="327" spans="1:38">
      <c r="A327" s="4" t="s">
        <v>89</v>
      </c>
      <c r="B327" s="4" t="s">
        <v>88</v>
      </c>
      <c r="C327" s="4" t="s">
        <v>90</v>
      </c>
      <c r="F327" s="5">
        <v>42065.903050034722</v>
      </c>
      <c r="G327" s="4" t="s">
        <v>59</v>
      </c>
      <c r="AC327" s="4" t="s">
        <v>310</v>
      </c>
      <c r="AD327" s="4" t="s">
        <v>309</v>
      </c>
      <c r="AE327" s="4" t="s">
        <v>18</v>
      </c>
      <c r="AF327" s="4" t="s">
        <v>94</v>
      </c>
      <c r="AI327" s="4">
        <v>0</v>
      </c>
      <c r="AJ327" s="4" t="s">
        <v>18</v>
      </c>
      <c r="AK327" s="4" t="s">
        <v>91</v>
      </c>
    </row>
    <row r="328" spans="1:38">
      <c r="A328" s="4" t="s">
        <v>89</v>
      </c>
      <c r="B328" s="4" t="s">
        <v>88</v>
      </c>
      <c r="C328" s="4" t="s">
        <v>90</v>
      </c>
      <c r="F328" s="5">
        <v>42065.903055555558</v>
      </c>
      <c r="G328" s="4" t="s">
        <v>19</v>
      </c>
      <c r="H328" s="4">
        <v>1</v>
      </c>
      <c r="I328" s="4">
        <v>139.39474999999999</v>
      </c>
      <c r="J328" s="4">
        <v>35.586069999999999</v>
      </c>
      <c r="K328" s="4" t="s">
        <v>232</v>
      </c>
      <c r="N328" s="4" t="s">
        <v>195</v>
      </c>
      <c r="O328" s="4" t="b">
        <v>1</v>
      </c>
      <c r="P328" s="4" t="b">
        <v>0</v>
      </c>
      <c r="Q328" s="4" t="b">
        <v>0</v>
      </c>
      <c r="R328" s="4" t="b">
        <v>0</v>
      </c>
      <c r="S328" s="4" t="b">
        <v>0</v>
      </c>
      <c r="T328" s="4" t="b">
        <v>0</v>
      </c>
      <c r="U328" s="4" t="b">
        <v>0</v>
      </c>
      <c r="V328" s="4" t="b">
        <v>0</v>
      </c>
      <c r="W328" s="4" t="b">
        <v>0</v>
      </c>
      <c r="X328" s="4" t="b">
        <v>1</v>
      </c>
      <c r="Y328" s="4" t="b">
        <v>1</v>
      </c>
    </row>
    <row r="329" spans="1:38">
      <c r="A329" s="4" t="s">
        <v>89</v>
      </c>
      <c r="B329" s="4" t="s">
        <v>88</v>
      </c>
      <c r="C329" s="4" t="s">
        <v>90</v>
      </c>
      <c r="F329" s="5">
        <v>42065.903078854164</v>
      </c>
      <c r="G329" s="4" t="s">
        <v>59</v>
      </c>
      <c r="AC329" s="4" t="s">
        <v>165</v>
      </c>
      <c r="AD329" s="4" t="s">
        <v>164</v>
      </c>
      <c r="AE329" s="4" t="s">
        <v>18</v>
      </c>
      <c r="AF329" s="4" t="s">
        <v>94</v>
      </c>
      <c r="AI329" s="4">
        <v>779</v>
      </c>
      <c r="AJ329" s="4" t="s">
        <v>163</v>
      </c>
      <c r="AK329" s="4" t="s">
        <v>162</v>
      </c>
    </row>
    <row r="330" spans="1:38">
      <c r="A330" s="4" t="s">
        <v>89</v>
      </c>
      <c r="B330" s="4" t="s">
        <v>88</v>
      </c>
      <c r="C330" s="4" t="s">
        <v>90</v>
      </c>
      <c r="F330" s="5">
        <v>42065.903097187504</v>
      </c>
      <c r="G330" s="4" t="s">
        <v>59</v>
      </c>
      <c r="AC330" s="4" t="s">
        <v>280</v>
      </c>
      <c r="AD330" s="4" t="s">
        <v>279</v>
      </c>
      <c r="AE330" s="4" t="s">
        <v>18</v>
      </c>
      <c r="AF330" s="4" t="s">
        <v>94</v>
      </c>
      <c r="AI330" s="4">
        <v>1.9417170286178589</v>
      </c>
      <c r="AJ330" s="4" t="s">
        <v>272</v>
      </c>
      <c r="AK330" s="4" t="s">
        <v>271</v>
      </c>
    </row>
    <row r="331" spans="1:38">
      <c r="A331" s="4" t="s">
        <v>89</v>
      </c>
      <c r="B331" s="4" t="s">
        <v>88</v>
      </c>
      <c r="C331" s="4" t="s">
        <v>90</v>
      </c>
      <c r="F331" s="5">
        <v>42065.903097187504</v>
      </c>
      <c r="G331" s="4" t="s">
        <v>59</v>
      </c>
      <c r="AC331" s="4" t="s">
        <v>274</v>
      </c>
      <c r="AD331" s="4" t="s">
        <v>273</v>
      </c>
      <c r="AE331" s="4" t="s">
        <v>18</v>
      </c>
      <c r="AF331" s="4" t="s">
        <v>94</v>
      </c>
      <c r="AI331" s="4">
        <v>9.5320625305175781</v>
      </c>
      <c r="AJ331" s="4" t="s">
        <v>272</v>
      </c>
      <c r="AK331" s="4" t="s">
        <v>271</v>
      </c>
    </row>
    <row r="332" spans="1:38">
      <c r="A332" s="4" t="s">
        <v>89</v>
      </c>
      <c r="B332" s="4" t="s">
        <v>88</v>
      </c>
      <c r="C332" s="4" t="s">
        <v>90</v>
      </c>
      <c r="F332" s="5">
        <v>42065.903097187504</v>
      </c>
      <c r="G332" s="4" t="s">
        <v>59</v>
      </c>
      <c r="AC332" s="4" t="s">
        <v>282</v>
      </c>
      <c r="AD332" s="4" t="s">
        <v>281</v>
      </c>
      <c r="AE332" s="4" t="s">
        <v>18</v>
      </c>
      <c r="AF332" s="4" t="s">
        <v>94</v>
      </c>
      <c r="AI332" s="4">
        <v>-0.35303941369056702</v>
      </c>
      <c r="AJ332" s="4" t="s">
        <v>272</v>
      </c>
      <c r="AK332" s="4" t="s">
        <v>271</v>
      </c>
    </row>
    <row r="333" spans="1:38">
      <c r="A333" s="4" t="s">
        <v>89</v>
      </c>
      <c r="B333" s="4" t="s">
        <v>88</v>
      </c>
      <c r="C333" s="4" t="s">
        <v>90</v>
      </c>
      <c r="F333" s="5">
        <v>42065.90314829861</v>
      </c>
      <c r="G333" s="4" t="s">
        <v>59</v>
      </c>
      <c r="AC333" s="4" t="s">
        <v>165</v>
      </c>
      <c r="AD333" s="4" t="s">
        <v>164</v>
      </c>
      <c r="AE333" s="4" t="s">
        <v>18</v>
      </c>
      <c r="AF333" s="4" t="s">
        <v>94</v>
      </c>
      <c r="AI333" s="4">
        <v>2051.75</v>
      </c>
      <c r="AJ333" s="4" t="s">
        <v>163</v>
      </c>
      <c r="AK333" s="4" t="s">
        <v>162</v>
      </c>
    </row>
    <row r="334" spans="1:38">
      <c r="A334" s="4" t="s">
        <v>89</v>
      </c>
      <c r="B334" s="4" t="s">
        <v>88</v>
      </c>
      <c r="C334" s="4" t="s">
        <v>90</v>
      </c>
      <c r="F334" s="5">
        <v>42065.903171759259</v>
      </c>
      <c r="G334" s="4" t="s">
        <v>59</v>
      </c>
      <c r="AC334" s="4" t="s">
        <v>165</v>
      </c>
      <c r="AD334" s="4" t="s">
        <v>164</v>
      </c>
      <c r="AE334" s="4" t="s">
        <v>18</v>
      </c>
      <c r="AF334" s="4" t="s">
        <v>94</v>
      </c>
      <c r="AI334" s="4">
        <v>1182.75</v>
      </c>
      <c r="AJ334" s="4" t="s">
        <v>163</v>
      </c>
      <c r="AK334" s="4" t="s">
        <v>162</v>
      </c>
    </row>
    <row r="335" spans="1:38">
      <c r="A335" s="4" t="s">
        <v>89</v>
      </c>
      <c r="B335" s="4" t="s">
        <v>88</v>
      </c>
      <c r="C335" s="4" t="s">
        <v>90</v>
      </c>
      <c r="F335" s="5">
        <v>42065.903248842595</v>
      </c>
      <c r="G335" s="4" t="s">
        <v>59</v>
      </c>
      <c r="AC335" s="4" t="s">
        <v>217</v>
      </c>
      <c r="AD335" s="4" t="s">
        <v>216</v>
      </c>
      <c r="AE335" s="4" t="s">
        <v>18</v>
      </c>
      <c r="AF335" s="4" t="s">
        <v>94</v>
      </c>
      <c r="AI335" s="4">
        <v>14.217555000000001</v>
      </c>
      <c r="AJ335" s="4" t="s">
        <v>142</v>
      </c>
      <c r="AK335" s="4" t="s">
        <v>141</v>
      </c>
    </row>
    <row r="336" spans="1:38">
      <c r="A336" s="4" t="s">
        <v>89</v>
      </c>
      <c r="B336" s="4" t="s">
        <v>88</v>
      </c>
      <c r="C336" s="4" t="s">
        <v>90</v>
      </c>
      <c r="F336" s="5">
        <v>42065.903310185182</v>
      </c>
      <c r="G336" s="4" t="s">
        <v>19</v>
      </c>
      <c r="H336" s="4">
        <v>44</v>
      </c>
      <c r="I336" s="4">
        <v>139.39633000000001</v>
      </c>
      <c r="J336" s="4">
        <v>35.585610000000003</v>
      </c>
      <c r="K336" s="4" t="s">
        <v>232</v>
      </c>
      <c r="N336" s="4" t="s">
        <v>211</v>
      </c>
      <c r="O336" s="4" t="b">
        <v>1</v>
      </c>
      <c r="P336" s="4" t="b">
        <v>0</v>
      </c>
      <c r="Q336" s="4" t="b">
        <v>0</v>
      </c>
      <c r="R336" s="4" t="b">
        <v>0</v>
      </c>
      <c r="S336" s="4" t="b">
        <v>0</v>
      </c>
      <c r="T336" s="4" t="b">
        <v>0</v>
      </c>
      <c r="U336" s="4" t="b">
        <v>0</v>
      </c>
      <c r="V336" s="4" t="b">
        <v>0</v>
      </c>
      <c r="W336" s="4" t="b">
        <v>0</v>
      </c>
      <c r="X336" s="4" t="b">
        <v>1</v>
      </c>
      <c r="Y336" s="4" t="b">
        <v>1</v>
      </c>
    </row>
    <row r="337" spans="1:37">
      <c r="A337" s="4" t="s">
        <v>89</v>
      </c>
      <c r="B337" s="4" t="s">
        <v>88</v>
      </c>
      <c r="C337" s="4" t="s">
        <v>90</v>
      </c>
      <c r="F337" s="5">
        <v>42065.903364583333</v>
      </c>
      <c r="G337" s="4" t="s">
        <v>59</v>
      </c>
      <c r="AC337" s="4" t="s">
        <v>217</v>
      </c>
      <c r="AD337" s="4" t="s">
        <v>216</v>
      </c>
      <c r="AE337" s="4" t="s">
        <v>18</v>
      </c>
      <c r="AF337" s="4" t="s">
        <v>94</v>
      </c>
      <c r="AI337" s="4">
        <v>13.251555400000001</v>
      </c>
      <c r="AJ337" s="4" t="s">
        <v>142</v>
      </c>
      <c r="AK337" s="4" t="s">
        <v>141</v>
      </c>
    </row>
    <row r="338" spans="1:37">
      <c r="A338" s="4" t="s">
        <v>89</v>
      </c>
      <c r="B338" s="4" t="s">
        <v>88</v>
      </c>
      <c r="C338" s="4" t="s">
        <v>90</v>
      </c>
      <c r="F338" s="5">
        <v>42065.903454363426</v>
      </c>
      <c r="G338" s="4" t="s">
        <v>59</v>
      </c>
      <c r="AC338" s="4" t="s">
        <v>203</v>
      </c>
      <c r="AD338" s="4" t="s">
        <v>202</v>
      </c>
      <c r="AE338" s="4" t="s">
        <v>18</v>
      </c>
      <c r="AF338" s="4" t="s">
        <v>94</v>
      </c>
      <c r="AI338" s="4">
        <v>59</v>
      </c>
      <c r="AJ338" s="4" t="s">
        <v>201</v>
      </c>
      <c r="AK338" s="4" t="s">
        <v>200</v>
      </c>
    </row>
    <row r="339" spans="1:37">
      <c r="A339" s="4" t="s">
        <v>89</v>
      </c>
      <c r="B339" s="4" t="s">
        <v>88</v>
      </c>
      <c r="C339" s="4" t="s">
        <v>90</v>
      </c>
      <c r="F339" s="5">
        <v>42065.903480324072</v>
      </c>
      <c r="G339" s="4" t="s">
        <v>59</v>
      </c>
      <c r="AC339" s="4" t="s">
        <v>217</v>
      </c>
      <c r="AD339" s="4" t="s">
        <v>216</v>
      </c>
      <c r="AE339" s="4" t="s">
        <v>18</v>
      </c>
      <c r="AF339" s="4" t="s">
        <v>94</v>
      </c>
      <c r="AI339" s="4">
        <v>12.822221799999999</v>
      </c>
      <c r="AJ339" s="4" t="s">
        <v>142</v>
      </c>
      <c r="AK339" s="4" t="s">
        <v>141</v>
      </c>
    </row>
    <row r="340" spans="1:37">
      <c r="A340" s="4" t="s">
        <v>89</v>
      </c>
      <c r="B340" s="4" t="s">
        <v>88</v>
      </c>
      <c r="C340" s="4" t="s">
        <v>90</v>
      </c>
      <c r="F340" s="5">
        <v>42065.903553240743</v>
      </c>
      <c r="G340" s="4" t="s">
        <v>19</v>
      </c>
      <c r="H340" s="4">
        <v>48</v>
      </c>
      <c r="I340" s="4">
        <v>139.39913999999999</v>
      </c>
      <c r="J340" s="4">
        <v>35.584919999999997</v>
      </c>
      <c r="K340" s="4" t="s">
        <v>232</v>
      </c>
      <c r="N340" s="4" t="s">
        <v>210</v>
      </c>
      <c r="O340" s="4" t="b">
        <v>1</v>
      </c>
      <c r="P340" s="4" t="b">
        <v>0</v>
      </c>
      <c r="Q340" s="4" t="b">
        <v>0</v>
      </c>
      <c r="R340" s="4" t="b">
        <v>0</v>
      </c>
      <c r="S340" s="4" t="b">
        <v>0</v>
      </c>
      <c r="T340" s="4" t="b">
        <v>0</v>
      </c>
      <c r="U340" s="4" t="b">
        <v>0</v>
      </c>
      <c r="V340" s="4" t="b">
        <v>0</v>
      </c>
      <c r="W340" s="4" t="b">
        <v>0</v>
      </c>
      <c r="X340" s="4" t="b">
        <v>1</v>
      </c>
      <c r="Y340" s="4" t="b">
        <v>1</v>
      </c>
    </row>
    <row r="341" spans="1:37">
      <c r="A341" s="4" t="s">
        <v>89</v>
      </c>
      <c r="B341" s="4" t="s">
        <v>88</v>
      </c>
      <c r="C341" s="4" t="s">
        <v>90</v>
      </c>
      <c r="F341" s="5">
        <v>42065.903588113426</v>
      </c>
      <c r="G341" s="4" t="s">
        <v>59</v>
      </c>
      <c r="AC341" s="4" t="s">
        <v>165</v>
      </c>
      <c r="AD341" s="4" t="s">
        <v>164</v>
      </c>
      <c r="AE341" s="4" t="s">
        <v>18</v>
      </c>
      <c r="AF341" s="4" t="s">
        <v>94</v>
      </c>
      <c r="AI341" s="4">
        <v>1509</v>
      </c>
      <c r="AJ341" s="4" t="s">
        <v>163</v>
      </c>
      <c r="AK341" s="4" t="s">
        <v>162</v>
      </c>
    </row>
    <row r="342" spans="1:37">
      <c r="A342" s="4" t="s">
        <v>89</v>
      </c>
      <c r="B342" s="4" t="s">
        <v>88</v>
      </c>
      <c r="C342" s="4" t="s">
        <v>90</v>
      </c>
      <c r="F342" s="5">
        <v>42065.903807870367</v>
      </c>
      <c r="G342" s="4" t="s">
        <v>19</v>
      </c>
      <c r="H342" s="4">
        <v>37</v>
      </c>
      <c r="I342" s="4">
        <v>139.40172999999999</v>
      </c>
      <c r="J342" s="4">
        <v>35.58408</v>
      </c>
      <c r="K342" s="4" t="s">
        <v>232</v>
      </c>
      <c r="N342" s="4" t="s">
        <v>211</v>
      </c>
      <c r="O342" s="4" t="b">
        <v>1</v>
      </c>
      <c r="P342" s="4" t="b">
        <v>0</v>
      </c>
      <c r="Q342" s="4" t="b">
        <v>0</v>
      </c>
      <c r="R342" s="4" t="b">
        <v>0</v>
      </c>
      <c r="S342" s="4" t="b">
        <v>0</v>
      </c>
      <c r="T342" s="4" t="b">
        <v>0</v>
      </c>
      <c r="U342" s="4" t="b">
        <v>0</v>
      </c>
      <c r="V342" s="4" t="b">
        <v>0</v>
      </c>
      <c r="W342" s="4" t="b">
        <v>0</v>
      </c>
      <c r="X342" s="4" t="b">
        <v>1</v>
      </c>
      <c r="Y342" s="4" t="b">
        <v>1</v>
      </c>
    </row>
    <row r="343" spans="1:37">
      <c r="A343" s="4" t="s">
        <v>89</v>
      </c>
      <c r="B343" s="4" t="s">
        <v>88</v>
      </c>
      <c r="C343" s="4" t="s">
        <v>90</v>
      </c>
      <c r="F343" s="5">
        <v>42065.903854432872</v>
      </c>
      <c r="G343" s="4" t="s">
        <v>59</v>
      </c>
      <c r="AC343" s="4" t="s">
        <v>280</v>
      </c>
      <c r="AD343" s="4" t="s">
        <v>279</v>
      </c>
      <c r="AE343" s="4" t="s">
        <v>18</v>
      </c>
      <c r="AF343" s="4" t="s">
        <v>94</v>
      </c>
      <c r="AI343" s="4">
        <v>0</v>
      </c>
      <c r="AJ343" s="4" t="s">
        <v>272</v>
      </c>
      <c r="AK343" s="4" t="s">
        <v>271</v>
      </c>
    </row>
    <row r="344" spans="1:37">
      <c r="A344" s="4" t="s">
        <v>89</v>
      </c>
      <c r="B344" s="4" t="s">
        <v>88</v>
      </c>
      <c r="C344" s="4" t="s">
        <v>90</v>
      </c>
      <c r="F344" s="5">
        <v>42065.903854432872</v>
      </c>
      <c r="G344" s="4" t="s">
        <v>59</v>
      </c>
      <c r="AC344" s="4" t="s">
        <v>282</v>
      </c>
      <c r="AD344" s="4" t="s">
        <v>281</v>
      </c>
      <c r="AE344" s="4" t="s">
        <v>18</v>
      </c>
      <c r="AF344" s="4" t="s">
        <v>94</v>
      </c>
      <c r="AI344" s="4">
        <v>-0.35303941369056702</v>
      </c>
      <c r="AJ344" s="4" t="s">
        <v>272</v>
      </c>
      <c r="AK344" s="4" t="s">
        <v>271</v>
      </c>
    </row>
    <row r="345" spans="1:37">
      <c r="A345" s="4" t="s">
        <v>89</v>
      </c>
      <c r="B345" s="4" t="s">
        <v>88</v>
      </c>
      <c r="C345" s="4" t="s">
        <v>90</v>
      </c>
      <c r="F345" s="5">
        <v>42065.903854432872</v>
      </c>
      <c r="G345" s="4" t="s">
        <v>59</v>
      </c>
      <c r="AC345" s="4" t="s">
        <v>274</v>
      </c>
      <c r="AD345" s="4" t="s">
        <v>273</v>
      </c>
      <c r="AE345" s="4" t="s">
        <v>18</v>
      </c>
      <c r="AF345" s="4" t="s">
        <v>94</v>
      </c>
      <c r="AI345" s="4">
        <v>9.7085838317871094</v>
      </c>
      <c r="AJ345" s="4" t="s">
        <v>272</v>
      </c>
      <c r="AK345" s="4" t="s">
        <v>271</v>
      </c>
    </row>
    <row r="346" spans="1:37">
      <c r="A346" s="4" t="s">
        <v>89</v>
      </c>
      <c r="B346" s="4" t="s">
        <v>88</v>
      </c>
      <c r="C346" s="4" t="s">
        <v>90</v>
      </c>
      <c r="F346" s="5">
        <v>42065.903861192128</v>
      </c>
      <c r="G346" s="4" t="s">
        <v>59</v>
      </c>
      <c r="AC346" s="4" t="s">
        <v>280</v>
      </c>
      <c r="AD346" s="4" t="s">
        <v>279</v>
      </c>
      <c r="AE346" s="4" t="s">
        <v>18</v>
      </c>
      <c r="AF346" s="4" t="s">
        <v>94</v>
      </c>
      <c r="AI346" s="4">
        <v>-1.9417170286178589</v>
      </c>
      <c r="AJ346" s="4" t="s">
        <v>272</v>
      </c>
      <c r="AK346" s="4" t="s">
        <v>271</v>
      </c>
    </row>
    <row r="347" spans="1:37">
      <c r="A347" s="4" t="s">
        <v>89</v>
      </c>
      <c r="B347" s="4" t="s">
        <v>88</v>
      </c>
      <c r="C347" s="4" t="s">
        <v>90</v>
      </c>
      <c r="F347" s="5">
        <v>42065.903861192128</v>
      </c>
      <c r="G347" s="4" t="s">
        <v>59</v>
      </c>
      <c r="AC347" s="4" t="s">
        <v>282</v>
      </c>
      <c r="AD347" s="4" t="s">
        <v>281</v>
      </c>
      <c r="AE347" s="4" t="s">
        <v>18</v>
      </c>
      <c r="AF347" s="4" t="s">
        <v>94</v>
      </c>
      <c r="AI347" s="4">
        <v>0</v>
      </c>
      <c r="AJ347" s="4" t="s">
        <v>272</v>
      </c>
      <c r="AK347" s="4" t="s">
        <v>271</v>
      </c>
    </row>
    <row r="348" spans="1:37">
      <c r="A348" s="4" t="s">
        <v>89</v>
      </c>
      <c r="B348" s="4" t="s">
        <v>88</v>
      </c>
      <c r="C348" s="4" t="s">
        <v>90</v>
      </c>
      <c r="F348" s="5">
        <v>42065.903861192128</v>
      </c>
      <c r="G348" s="4" t="s">
        <v>59</v>
      </c>
      <c r="AC348" s="4" t="s">
        <v>274</v>
      </c>
      <c r="AD348" s="4" t="s">
        <v>273</v>
      </c>
      <c r="AE348" s="4" t="s">
        <v>18</v>
      </c>
      <c r="AF348" s="4" t="s">
        <v>94</v>
      </c>
      <c r="AI348" s="4">
        <v>9.5320625305175781</v>
      </c>
      <c r="AJ348" s="4" t="s">
        <v>272</v>
      </c>
      <c r="AK348" s="4" t="s">
        <v>271</v>
      </c>
    </row>
    <row r="349" spans="1:37">
      <c r="A349" s="4" t="s">
        <v>89</v>
      </c>
      <c r="B349" s="4" t="s">
        <v>88</v>
      </c>
      <c r="C349" s="4" t="s">
        <v>90</v>
      </c>
      <c r="F349" s="5">
        <v>42065.90390853009</v>
      </c>
      <c r="G349" s="4" t="s">
        <v>59</v>
      </c>
      <c r="AC349" s="4" t="s">
        <v>274</v>
      </c>
      <c r="AD349" s="4" t="s">
        <v>273</v>
      </c>
      <c r="AE349" s="4" t="s">
        <v>18</v>
      </c>
      <c r="AF349" s="4" t="s">
        <v>94</v>
      </c>
      <c r="AI349" s="4">
        <v>9.5320625305175781</v>
      </c>
      <c r="AJ349" s="4" t="s">
        <v>272</v>
      </c>
      <c r="AK349" s="4" t="s">
        <v>271</v>
      </c>
    </row>
    <row r="350" spans="1:37">
      <c r="A350" s="4" t="s">
        <v>89</v>
      </c>
      <c r="B350" s="4" t="s">
        <v>88</v>
      </c>
      <c r="C350" s="4" t="s">
        <v>90</v>
      </c>
      <c r="F350" s="5">
        <v>42065.90390853009</v>
      </c>
      <c r="G350" s="4" t="s">
        <v>59</v>
      </c>
      <c r="AC350" s="4" t="s">
        <v>282</v>
      </c>
      <c r="AD350" s="4" t="s">
        <v>281</v>
      </c>
      <c r="AE350" s="4" t="s">
        <v>18</v>
      </c>
      <c r="AF350" s="4" t="s">
        <v>94</v>
      </c>
      <c r="AI350" s="4">
        <v>0</v>
      </c>
      <c r="AJ350" s="4" t="s">
        <v>272</v>
      </c>
      <c r="AK350" s="4" t="s">
        <v>271</v>
      </c>
    </row>
    <row r="351" spans="1:37">
      <c r="A351" s="4" t="s">
        <v>89</v>
      </c>
      <c r="B351" s="4" t="s">
        <v>88</v>
      </c>
      <c r="C351" s="4" t="s">
        <v>90</v>
      </c>
      <c r="F351" s="5">
        <v>42065.90390853009</v>
      </c>
      <c r="G351" s="4" t="s">
        <v>59</v>
      </c>
      <c r="AC351" s="4" t="s">
        <v>280</v>
      </c>
      <c r="AD351" s="4" t="s">
        <v>279</v>
      </c>
      <c r="AE351" s="4" t="s">
        <v>18</v>
      </c>
      <c r="AF351" s="4" t="s">
        <v>94</v>
      </c>
      <c r="AI351" s="4">
        <v>1.0591180324554443</v>
      </c>
      <c r="AJ351" s="4" t="s">
        <v>272</v>
      </c>
      <c r="AK351" s="4" t="s">
        <v>271</v>
      </c>
    </row>
    <row r="352" spans="1:37">
      <c r="A352" s="4" t="s">
        <v>89</v>
      </c>
      <c r="B352" s="4" t="s">
        <v>88</v>
      </c>
      <c r="C352" s="4" t="s">
        <v>90</v>
      </c>
      <c r="F352" s="5">
        <v>42065.903912037036</v>
      </c>
      <c r="G352" s="4" t="s">
        <v>19</v>
      </c>
      <c r="H352" s="4">
        <v>0</v>
      </c>
      <c r="I352" s="4">
        <v>139.4023</v>
      </c>
      <c r="J352" s="4">
        <v>35.5839</v>
      </c>
      <c r="K352" s="4" t="s">
        <v>232</v>
      </c>
      <c r="N352" s="4" t="s">
        <v>195</v>
      </c>
      <c r="O352" s="4" t="b">
        <v>1</v>
      </c>
      <c r="P352" s="4" t="b">
        <v>0</v>
      </c>
      <c r="Q352" s="4" t="b">
        <v>0</v>
      </c>
      <c r="R352" s="4" t="b">
        <v>0</v>
      </c>
      <c r="S352" s="4" t="b">
        <v>0</v>
      </c>
      <c r="T352" s="4" t="b">
        <v>0</v>
      </c>
      <c r="U352" s="4" t="b">
        <v>0</v>
      </c>
      <c r="V352" s="4" t="b">
        <v>0</v>
      </c>
      <c r="W352" s="4" t="b">
        <v>0</v>
      </c>
      <c r="X352" s="4" t="b">
        <v>1</v>
      </c>
      <c r="Y352" s="4" t="b">
        <v>1</v>
      </c>
    </row>
    <row r="353" spans="1:38">
      <c r="A353" s="4" t="s">
        <v>89</v>
      </c>
      <c r="B353" s="4" t="s">
        <v>88</v>
      </c>
      <c r="C353" s="4" t="s">
        <v>90</v>
      </c>
      <c r="F353" s="5">
        <v>42065.903943287034</v>
      </c>
      <c r="G353" s="4" t="s">
        <v>59</v>
      </c>
      <c r="AC353" s="4" t="s">
        <v>217</v>
      </c>
      <c r="AD353" s="4" t="s">
        <v>216</v>
      </c>
      <c r="AE353" s="4" t="s">
        <v>18</v>
      </c>
      <c r="AF353" s="4" t="s">
        <v>94</v>
      </c>
      <c r="AI353" s="4">
        <v>13.3946667</v>
      </c>
      <c r="AJ353" s="4" t="s">
        <v>142</v>
      </c>
      <c r="AK353" s="4" t="s">
        <v>141</v>
      </c>
    </row>
    <row r="354" spans="1:38">
      <c r="A354" s="4" t="s">
        <v>89</v>
      </c>
      <c r="B354" s="4" t="s">
        <v>88</v>
      </c>
      <c r="C354" s="4" t="s">
        <v>90</v>
      </c>
      <c r="F354" s="5">
        <v>42065.904051076388</v>
      </c>
      <c r="G354" s="4" t="s">
        <v>59</v>
      </c>
      <c r="AC354" s="4" t="s">
        <v>165</v>
      </c>
      <c r="AD354" s="4" t="s">
        <v>164</v>
      </c>
      <c r="AE354" s="4" t="s">
        <v>18</v>
      </c>
      <c r="AF354" s="4" t="s">
        <v>94</v>
      </c>
      <c r="AI354" s="4">
        <v>748.25</v>
      </c>
      <c r="AJ354" s="4" t="s">
        <v>163</v>
      </c>
      <c r="AK354" s="4" t="s">
        <v>162</v>
      </c>
    </row>
    <row r="355" spans="1:38">
      <c r="A355" s="4" t="s">
        <v>89</v>
      </c>
      <c r="B355" s="4" t="s">
        <v>88</v>
      </c>
      <c r="C355" s="4" t="s">
        <v>90</v>
      </c>
      <c r="F355" s="5">
        <v>42065.90405902778</v>
      </c>
      <c r="G355" s="4" t="s">
        <v>59</v>
      </c>
      <c r="AC355" s="4" t="s">
        <v>217</v>
      </c>
      <c r="AD355" s="4" t="s">
        <v>216</v>
      </c>
      <c r="AE355" s="4" t="s">
        <v>18</v>
      </c>
      <c r="AF355" s="4" t="s">
        <v>94</v>
      </c>
      <c r="AI355" s="4">
        <v>13.967111600000001</v>
      </c>
      <c r="AJ355" s="4" t="s">
        <v>142</v>
      </c>
      <c r="AK355" s="4" t="s">
        <v>141</v>
      </c>
    </row>
    <row r="356" spans="1:38">
      <c r="A356" s="4" t="s">
        <v>89</v>
      </c>
      <c r="B356" s="4" t="s">
        <v>88</v>
      </c>
      <c r="C356" s="4" t="s">
        <v>90</v>
      </c>
      <c r="F356" s="5">
        <v>42065.904074074075</v>
      </c>
      <c r="G356" s="4" t="s">
        <v>98</v>
      </c>
      <c r="N356" s="4" t="s">
        <v>321</v>
      </c>
      <c r="AL356" s="4" t="s">
        <v>322</v>
      </c>
    </row>
    <row r="357" spans="1:38">
      <c r="A357" s="4" t="s">
        <v>89</v>
      </c>
      <c r="B357" s="4" t="s">
        <v>88</v>
      </c>
      <c r="C357" s="4" t="s">
        <v>90</v>
      </c>
      <c r="F357" s="5">
        <v>42065.904074074075</v>
      </c>
      <c r="G357" s="4" t="s">
        <v>98</v>
      </c>
      <c r="N357" s="4" t="s">
        <v>323</v>
      </c>
      <c r="AL357" s="4" t="s">
        <v>294</v>
      </c>
    </row>
    <row r="358" spans="1:38">
      <c r="A358" s="4" t="s">
        <v>89</v>
      </c>
      <c r="B358" s="4" t="s">
        <v>88</v>
      </c>
      <c r="C358" s="4" t="s">
        <v>90</v>
      </c>
      <c r="F358" s="5">
        <v>42065.904074074075</v>
      </c>
      <c r="G358" s="4" t="s">
        <v>98</v>
      </c>
      <c r="N358" s="4" t="s">
        <v>324</v>
      </c>
      <c r="AL358" s="4" t="s">
        <v>325</v>
      </c>
    </row>
    <row r="359" spans="1:38">
      <c r="A359" s="4" t="s">
        <v>89</v>
      </c>
      <c r="B359" s="4" t="s">
        <v>88</v>
      </c>
      <c r="C359" s="4" t="s">
        <v>90</v>
      </c>
      <c r="F359" s="5">
        <v>42065.904074074075</v>
      </c>
      <c r="G359" s="4" t="s">
        <v>98</v>
      </c>
      <c r="N359" s="4" t="s">
        <v>326</v>
      </c>
      <c r="AL359" s="4" t="s">
        <v>327</v>
      </c>
    </row>
    <row r="360" spans="1:38">
      <c r="A360" s="4" t="s">
        <v>89</v>
      </c>
      <c r="B360" s="4" t="s">
        <v>88</v>
      </c>
      <c r="C360" s="4" t="s">
        <v>90</v>
      </c>
      <c r="F360" s="5">
        <v>42065.904074074075</v>
      </c>
      <c r="G360" s="4" t="s">
        <v>98</v>
      </c>
      <c r="N360" s="4" t="s">
        <v>328</v>
      </c>
      <c r="AL360" s="4" t="s">
        <v>329</v>
      </c>
    </row>
    <row r="361" spans="1:38">
      <c r="A361" s="4" t="s">
        <v>89</v>
      </c>
      <c r="B361" s="4" t="s">
        <v>88</v>
      </c>
      <c r="C361" s="4" t="s">
        <v>90</v>
      </c>
      <c r="F361" s="5">
        <v>42065.904143518521</v>
      </c>
      <c r="G361" s="4" t="s">
        <v>19</v>
      </c>
      <c r="H361" s="4">
        <v>0</v>
      </c>
      <c r="I361" s="4">
        <v>139.4023</v>
      </c>
      <c r="J361" s="4">
        <v>35.5839</v>
      </c>
      <c r="K361" s="4" t="s">
        <v>232</v>
      </c>
      <c r="N361" s="4" t="s">
        <v>224</v>
      </c>
      <c r="O361" s="4" t="b">
        <v>1</v>
      </c>
      <c r="P361" s="4" t="b">
        <v>0</v>
      </c>
      <c r="Q361" s="4" t="b">
        <v>0</v>
      </c>
      <c r="R361" s="4" t="b">
        <v>0</v>
      </c>
      <c r="S361" s="4" t="b">
        <v>0</v>
      </c>
      <c r="T361" s="4" t="b">
        <v>0</v>
      </c>
      <c r="U361" s="4" t="b">
        <v>0</v>
      </c>
      <c r="V361" s="4" t="b">
        <v>0</v>
      </c>
      <c r="W361" s="4" t="b">
        <v>0</v>
      </c>
      <c r="X361" s="4" t="b">
        <v>1</v>
      </c>
      <c r="Y361" s="4" t="b">
        <v>1</v>
      </c>
    </row>
    <row r="362" spans="1:38">
      <c r="A362" s="4" t="s">
        <v>89</v>
      </c>
      <c r="B362" s="4" t="s">
        <v>88</v>
      </c>
      <c r="C362" s="4" t="s">
        <v>90</v>
      </c>
      <c r="F362" s="5">
        <v>42065.904236192131</v>
      </c>
      <c r="G362" s="4" t="s">
        <v>59</v>
      </c>
      <c r="AC362" s="4" t="s">
        <v>165</v>
      </c>
      <c r="AD362" s="4" t="s">
        <v>164</v>
      </c>
      <c r="AE362" s="4" t="s">
        <v>18</v>
      </c>
      <c r="AF362" s="4" t="s">
        <v>94</v>
      </c>
      <c r="AI362" s="4">
        <v>782.25</v>
      </c>
      <c r="AJ362" s="4" t="s">
        <v>163</v>
      </c>
      <c r="AK362" s="4" t="s">
        <v>162</v>
      </c>
    </row>
    <row r="363" spans="1:38">
      <c r="A363" s="4" t="s">
        <v>89</v>
      </c>
      <c r="B363" s="4" t="s">
        <v>88</v>
      </c>
      <c r="C363" s="4" t="s">
        <v>90</v>
      </c>
      <c r="F363" s="5">
        <v>42065.904247685183</v>
      </c>
      <c r="G363" s="4" t="s">
        <v>19</v>
      </c>
      <c r="H363" s="4">
        <v>3</v>
      </c>
      <c r="I363" s="4">
        <v>139.40231</v>
      </c>
      <c r="J363" s="4">
        <v>35.583950000000002</v>
      </c>
      <c r="K363" s="4" t="s">
        <v>232</v>
      </c>
      <c r="N363" s="4" t="s">
        <v>195</v>
      </c>
      <c r="O363" s="4" t="b">
        <v>1</v>
      </c>
      <c r="P363" s="4" t="b">
        <v>0</v>
      </c>
      <c r="Q363" s="4" t="b">
        <v>0</v>
      </c>
      <c r="R363" s="4" t="b">
        <v>0</v>
      </c>
      <c r="S363" s="4" t="b">
        <v>0</v>
      </c>
      <c r="T363" s="4" t="b">
        <v>0</v>
      </c>
      <c r="U363" s="4" t="b">
        <v>0</v>
      </c>
      <c r="V363" s="4" t="b">
        <v>0</v>
      </c>
      <c r="W363" s="4" t="b">
        <v>0</v>
      </c>
      <c r="X363" s="4" t="b">
        <v>1</v>
      </c>
      <c r="Y363" s="4" t="b">
        <v>1</v>
      </c>
    </row>
    <row r="364" spans="1:38">
      <c r="A364" s="4" t="s">
        <v>89</v>
      </c>
      <c r="B364" s="4" t="s">
        <v>88</v>
      </c>
      <c r="C364" s="4" t="s">
        <v>90</v>
      </c>
      <c r="F364" s="5">
        <v>42065.904259409719</v>
      </c>
      <c r="G364" s="4" t="s">
        <v>59</v>
      </c>
      <c r="AC364" s="4" t="s">
        <v>165</v>
      </c>
      <c r="AD364" s="4" t="s">
        <v>164</v>
      </c>
      <c r="AE364" s="4" t="s">
        <v>18</v>
      </c>
      <c r="AF364" s="4" t="s">
        <v>94</v>
      </c>
      <c r="AI364" s="4">
        <v>1982.75</v>
      </c>
      <c r="AJ364" s="4" t="s">
        <v>163</v>
      </c>
      <c r="AK364" s="4" t="s">
        <v>162</v>
      </c>
    </row>
    <row r="365" spans="1:38">
      <c r="A365" s="4" t="s">
        <v>89</v>
      </c>
      <c r="B365" s="4" t="s">
        <v>88</v>
      </c>
      <c r="C365" s="4" t="s">
        <v>90</v>
      </c>
      <c r="F365" s="5">
        <v>42065.904282488424</v>
      </c>
      <c r="G365" s="4" t="s">
        <v>59</v>
      </c>
      <c r="AC365" s="4" t="s">
        <v>165</v>
      </c>
      <c r="AD365" s="4" t="s">
        <v>164</v>
      </c>
      <c r="AE365" s="4" t="s">
        <v>18</v>
      </c>
      <c r="AF365" s="4" t="s">
        <v>94</v>
      </c>
      <c r="AI365" s="4">
        <v>1414.25</v>
      </c>
      <c r="AJ365" s="4" t="s">
        <v>163</v>
      </c>
      <c r="AK365" s="4" t="s">
        <v>162</v>
      </c>
    </row>
    <row r="366" spans="1:38">
      <c r="A366" s="4" t="s">
        <v>89</v>
      </c>
      <c r="B366" s="4" t="s">
        <v>88</v>
      </c>
      <c r="C366" s="4" t="s">
        <v>90</v>
      </c>
      <c r="F366" s="5">
        <v>42065.904305555552</v>
      </c>
      <c r="G366" s="4" t="s">
        <v>19</v>
      </c>
      <c r="H366" s="4">
        <v>29</v>
      </c>
      <c r="I366" s="4">
        <v>139.40260000000001</v>
      </c>
      <c r="J366" s="4">
        <v>35.583770000000001</v>
      </c>
      <c r="K366" s="4" t="s">
        <v>232</v>
      </c>
      <c r="N366" s="4" t="s">
        <v>211</v>
      </c>
      <c r="O366" s="4" t="b">
        <v>1</v>
      </c>
      <c r="P366" s="4" t="b">
        <v>0</v>
      </c>
      <c r="Q366" s="4" t="b">
        <v>0</v>
      </c>
      <c r="R366" s="4" t="b">
        <v>0</v>
      </c>
      <c r="S366" s="4" t="b">
        <v>0</v>
      </c>
      <c r="T366" s="4" t="b">
        <v>0</v>
      </c>
      <c r="U366" s="4" t="b">
        <v>0</v>
      </c>
      <c r="V366" s="4" t="b">
        <v>0</v>
      </c>
      <c r="W366" s="4" t="b">
        <v>0</v>
      </c>
      <c r="X366" s="4" t="b">
        <v>1</v>
      </c>
      <c r="Y366" s="4" t="b">
        <v>1</v>
      </c>
    </row>
    <row r="367" spans="1:38">
      <c r="A367" s="4" t="s">
        <v>89</v>
      </c>
      <c r="B367" s="4" t="s">
        <v>88</v>
      </c>
      <c r="C367" s="4" t="s">
        <v>90</v>
      </c>
      <c r="F367" s="5">
        <v>42065.904409722221</v>
      </c>
      <c r="G367" s="4" t="s">
        <v>19</v>
      </c>
      <c r="H367" s="4">
        <v>41</v>
      </c>
      <c r="I367" s="4">
        <v>139.40332000000001</v>
      </c>
      <c r="J367" s="4">
        <v>35.583159999999999</v>
      </c>
      <c r="K367" s="4" t="s">
        <v>232</v>
      </c>
      <c r="N367" s="4" t="s">
        <v>210</v>
      </c>
      <c r="O367" s="4" t="b">
        <v>1</v>
      </c>
      <c r="P367" s="4" t="b">
        <v>0</v>
      </c>
      <c r="Q367" s="4" t="b">
        <v>0</v>
      </c>
      <c r="R367" s="4" t="b">
        <v>0</v>
      </c>
      <c r="S367" s="4" t="b">
        <v>0</v>
      </c>
      <c r="T367" s="4" t="b">
        <v>0</v>
      </c>
      <c r="U367" s="4" t="b">
        <v>0</v>
      </c>
      <c r="V367" s="4" t="b">
        <v>0</v>
      </c>
      <c r="W367" s="4" t="b">
        <v>0</v>
      </c>
      <c r="X367" s="4" t="b">
        <v>1</v>
      </c>
      <c r="Y367" s="4" t="b">
        <v>1</v>
      </c>
    </row>
    <row r="368" spans="1:38">
      <c r="A368" s="4" t="s">
        <v>89</v>
      </c>
      <c r="B368" s="4" t="s">
        <v>88</v>
      </c>
      <c r="C368" s="4" t="s">
        <v>90</v>
      </c>
      <c r="F368" s="5">
        <v>42065.904467592591</v>
      </c>
      <c r="G368" s="4" t="s">
        <v>98</v>
      </c>
      <c r="N368" s="4" t="s">
        <v>323</v>
      </c>
      <c r="AL368" s="4" t="s">
        <v>294</v>
      </c>
    </row>
    <row r="369" spans="1:38">
      <c r="A369" s="4" t="s">
        <v>89</v>
      </c>
      <c r="B369" s="4" t="s">
        <v>88</v>
      </c>
      <c r="C369" s="4" t="s">
        <v>90</v>
      </c>
      <c r="F369" s="5">
        <v>42065.904467673608</v>
      </c>
      <c r="G369" s="4" t="s">
        <v>98</v>
      </c>
      <c r="N369" s="4" t="s">
        <v>328</v>
      </c>
      <c r="AL369" s="4" t="s">
        <v>330</v>
      </c>
    </row>
    <row r="370" spans="1:38">
      <c r="A370" s="4" t="s">
        <v>89</v>
      </c>
      <c r="B370" s="4" t="s">
        <v>88</v>
      </c>
      <c r="C370" s="4" t="s">
        <v>90</v>
      </c>
      <c r="F370" s="5">
        <v>42065.904467673608</v>
      </c>
      <c r="G370" s="4" t="s">
        <v>98</v>
      </c>
      <c r="N370" s="4" t="s">
        <v>326</v>
      </c>
      <c r="AL370" s="4" t="s">
        <v>331</v>
      </c>
    </row>
    <row r="371" spans="1:38">
      <c r="A371" s="4" t="s">
        <v>89</v>
      </c>
      <c r="B371" s="4" t="s">
        <v>88</v>
      </c>
      <c r="C371" s="4" t="s">
        <v>90</v>
      </c>
      <c r="F371" s="5">
        <v>42065.904467673608</v>
      </c>
      <c r="G371" s="4" t="s">
        <v>98</v>
      </c>
      <c r="N371" s="4" t="s">
        <v>321</v>
      </c>
      <c r="AL371" s="4" t="s">
        <v>332</v>
      </c>
    </row>
    <row r="372" spans="1:38">
      <c r="A372" s="4" t="s">
        <v>89</v>
      </c>
      <c r="B372" s="4" t="s">
        <v>88</v>
      </c>
      <c r="C372" s="4" t="s">
        <v>90</v>
      </c>
      <c r="F372" s="5">
        <v>42065.904467673608</v>
      </c>
      <c r="G372" s="4" t="s">
        <v>98</v>
      </c>
      <c r="N372" s="4" t="s">
        <v>324</v>
      </c>
      <c r="AL372" s="4" t="s">
        <v>333</v>
      </c>
    </row>
    <row r="373" spans="1:38">
      <c r="A373" s="4" t="s">
        <v>89</v>
      </c>
      <c r="B373" s="4" t="s">
        <v>88</v>
      </c>
      <c r="C373" s="4" t="s">
        <v>90</v>
      </c>
      <c r="F373" s="5">
        <v>42065.904521990742</v>
      </c>
      <c r="G373" s="4" t="s">
        <v>59</v>
      </c>
      <c r="AC373" s="4" t="s">
        <v>217</v>
      </c>
      <c r="AD373" s="4" t="s">
        <v>216</v>
      </c>
      <c r="AE373" s="4" t="s">
        <v>18</v>
      </c>
      <c r="AF373" s="4" t="s">
        <v>94</v>
      </c>
      <c r="AI373" s="4">
        <v>13.251555400000001</v>
      </c>
      <c r="AJ373" s="4" t="s">
        <v>142</v>
      </c>
      <c r="AK373" s="4" t="s">
        <v>141</v>
      </c>
    </row>
    <row r="374" spans="1:38">
      <c r="A374" s="4" t="s">
        <v>89</v>
      </c>
      <c r="B374" s="4" t="s">
        <v>88</v>
      </c>
      <c r="C374" s="4" t="s">
        <v>90</v>
      </c>
      <c r="F374" s="5">
        <v>42065.904664351852</v>
      </c>
      <c r="G374" s="4" t="s">
        <v>19</v>
      </c>
      <c r="H374" s="4">
        <v>44</v>
      </c>
      <c r="I374" s="4">
        <v>139.40468999999999</v>
      </c>
      <c r="J374" s="4">
        <v>35.581049999999998</v>
      </c>
      <c r="K374" s="4" t="s">
        <v>229</v>
      </c>
      <c r="N374" s="4" t="s">
        <v>210</v>
      </c>
      <c r="O374" s="4" t="b">
        <v>1</v>
      </c>
      <c r="P374" s="4" t="b">
        <v>0</v>
      </c>
      <c r="Q374" s="4" t="b">
        <v>0</v>
      </c>
      <c r="R374" s="4" t="b">
        <v>0</v>
      </c>
      <c r="S374" s="4" t="b">
        <v>0</v>
      </c>
      <c r="T374" s="4" t="b">
        <v>0</v>
      </c>
      <c r="U374" s="4" t="b">
        <v>0</v>
      </c>
      <c r="V374" s="4" t="b">
        <v>0</v>
      </c>
      <c r="W374" s="4" t="b">
        <v>0</v>
      </c>
      <c r="X374" s="4" t="b">
        <v>1</v>
      </c>
      <c r="Y374" s="4" t="b">
        <v>1</v>
      </c>
    </row>
    <row r="375" spans="1:38">
      <c r="A375" s="4" t="s">
        <v>89</v>
      </c>
      <c r="B375" s="4" t="s">
        <v>88</v>
      </c>
      <c r="C375" s="4" t="s">
        <v>90</v>
      </c>
      <c r="F375" s="5">
        <v>42065.90480798611</v>
      </c>
      <c r="G375" s="4" t="s">
        <v>98</v>
      </c>
      <c r="N375" s="4" t="s">
        <v>290</v>
      </c>
      <c r="AL375" s="4" t="s">
        <v>291</v>
      </c>
    </row>
    <row r="376" spans="1:38">
      <c r="A376" s="4" t="s">
        <v>89</v>
      </c>
      <c r="B376" s="4" t="s">
        <v>88</v>
      </c>
      <c r="C376" s="4" t="s">
        <v>90</v>
      </c>
      <c r="F376" s="5">
        <v>42065.904827858794</v>
      </c>
      <c r="G376" s="4" t="s">
        <v>19</v>
      </c>
      <c r="H376" s="4">
        <v>37</v>
      </c>
      <c r="I376" s="4">
        <v>139.40620000000001</v>
      </c>
      <c r="J376" s="4">
        <v>35.580489999999998</v>
      </c>
      <c r="K376" s="4" t="s">
        <v>229</v>
      </c>
      <c r="N376" s="4" t="s">
        <v>292</v>
      </c>
      <c r="O376" s="4" t="b">
        <v>1</v>
      </c>
      <c r="P376" s="4" t="b">
        <v>0</v>
      </c>
      <c r="Q376" s="4" t="b">
        <v>0</v>
      </c>
      <c r="R376" s="4" t="b">
        <v>0</v>
      </c>
      <c r="S376" s="4" t="b">
        <v>0</v>
      </c>
      <c r="T376" s="4" t="b">
        <v>0</v>
      </c>
      <c r="U376" s="4" t="b">
        <v>0</v>
      </c>
      <c r="V376" s="4" t="b">
        <v>0</v>
      </c>
      <c r="W376" s="4" t="b">
        <v>0</v>
      </c>
      <c r="X376" s="4" t="b">
        <v>1</v>
      </c>
      <c r="Y376" s="4" t="b">
        <v>1</v>
      </c>
    </row>
    <row r="377" spans="1:38">
      <c r="A377" s="4" t="s">
        <v>89</v>
      </c>
      <c r="B377" s="4" t="s">
        <v>88</v>
      </c>
      <c r="C377" s="4" t="s">
        <v>90</v>
      </c>
      <c r="F377" s="5">
        <v>42065.904828437502</v>
      </c>
      <c r="G377" s="4" t="s">
        <v>98</v>
      </c>
      <c r="N377" s="4" t="s">
        <v>293</v>
      </c>
      <c r="AL377" s="4" t="s">
        <v>294</v>
      </c>
    </row>
    <row r="378" spans="1:38">
      <c r="A378" s="4" t="s">
        <v>89</v>
      </c>
      <c r="B378" s="4" t="s">
        <v>88</v>
      </c>
      <c r="C378" s="4" t="s">
        <v>90</v>
      </c>
      <c r="F378" s="5">
        <v>42065.904918981483</v>
      </c>
      <c r="G378" s="4" t="s">
        <v>19</v>
      </c>
      <c r="H378" s="4">
        <v>42</v>
      </c>
      <c r="I378" s="4">
        <v>139.40710000000001</v>
      </c>
      <c r="J378" s="4">
        <v>35.580080000000002</v>
      </c>
      <c r="K378" s="4" t="s">
        <v>229</v>
      </c>
      <c r="N378" s="4" t="s">
        <v>211</v>
      </c>
      <c r="O378" s="4" t="b">
        <v>1</v>
      </c>
      <c r="P378" s="4" t="b">
        <v>0</v>
      </c>
      <c r="Q378" s="4" t="b">
        <v>0</v>
      </c>
      <c r="R378" s="4" t="b">
        <v>0</v>
      </c>
      <c r="S378" s="4" t="b">
        <v>0</v>
      </c>
      <c r="T378" s="4" t="b">
        <v>0</v>
      </c>
      <c r="U378" s="4" t="b">
        <v>0</v>
      </c>
      <c r="V378" s="4" t="b">
        <v>0</v>
      </c>
      <c r="W378" s="4" t="b">
        <v>0</v>
      </c>
      <c r="X378" s="4" t="b">
        <v>1</v>
      </c>
      <c r="Y378" s="4" t="b">
        <v>1</v>
      </c>
    </row>
    <row r="379" spans="1:38">
      <c r="A379" s="4" t="s">
        <v>89</v>
      </c>
      <c r="B379" s="4" t="s">
        <v>88</v>
      </c>
      <c r="C379" s="4" t="s">
        <v>90</v>
      </c>
      <c r="F379" s="5">
        <v>42065.905011574076</v>
      </c>
      <c r="G379" s="4" t="s">
        <v>19</v>
      </c>
      <c r="H379" s="4">
        <v>20</v>
      </c>
      <c r="I379" s="4">
        <v>139.40778</v>
      </c>
      <c r="J379" s="4">
        <v>35.579700000000003</v>
      </c>
      <c r="K379" s="4" t="s">
        <v>229</v>
      </c>
      <c r="N379" s="4" t="s">
        <v>210</v>
      </c>
      <c r="O379" s="4" t="b">
        <v>1</v>
      </c>
      <c r="P379" s="4" t="b">
        <v>0</v>
      </c>
      <c r="Q379" s="4" t="b">
        <v>0</v>
      </c>
      <c r="R379" s="4" t="b">
        <v>0</v>
      </c>
      <c r="S379" s="4" t="b">
        <v>0</v>
      </c>
      <c r="T379" s="4" t="b">
        <v>0</v>
      </c>
      <c r="U379" s="4" t="b">
        <v>0</v>
      </c>
      <c r="V379" s="4" t="b">
        <v>0</v>
      </c>
      <c r="W379" s="4" t="b">
        <v>0</v>
      </c>
      <c r="X379" s="4" t="b">
        <v>1</v>
      </c>
      <c r="Y379" s="4" t="b">
        <v>1</v>
      </c>
    </row>
    <row r="380" spans="1:38">
      <c r="A380" s="4" t="s">
        <v>89</v>
      </c>
      <c r="B380" s="4" t="s">
        <v>88</v>
      </c>
      <c r="C380" s="4" t="s">
        <v>90</v>
      </c>
      <c r="F380" s="5">
        <v>42065.905032060182</v>
      </c>
      <c r="G380" s="4" t="s">
        <v>59</v>
      </c>
      <c r="AC380" s="4" t="s">
        <v>282</v>
      </c>
      <c r="AD380" s="4" t="s">
        <v>281</v>
      </c>
      <c r="AE380" s="4" t="s">
        <v>18</v>
      </c>
      <c r="AF380" s="4" t="s">
        <v>94</v>
      </c>
      <c r="AI380" s="4">
        <v>-3.0008349418640137</v>
      </c>
      <c r="AJ380" s="4" t="s">
        <v>272</v>
      </c>
      <c r="AK380" s="4" t="s">
        <v>271</v>
      </c>
    </row>
    <row r="381" spans="1:38">
      <c r="A381" s="4" t="s">
        <v>89</v>
      </c>
      <c r="B381" s="4" t="s">
        <v>88</v>
      </c>
      <c r="C381" s="4" t="s">
        <v>90</v>
      </c>
      <c r="F381" s="5">
        <v>42065.905032060182</v>
      </c>
      <c r="G381" s="4" t="s">
        <v>59</v>
      </c>
      <c r="AC381" s="4" t="s">
        <v>274</v>
      </c>
      <c r="AD381" s="4" t="s">
        <v>273</v>
      </c>
      <c r="AE381" s="4" t="s">
        <v>18</v>
      </c>
      <c r="AF381" s="4" t="s">
        <v>94</v>
      </c>
      <c r="AI381" s="4">
        <v>9.3555440902709961</v>
      </c>
      <c r="AJ381" s="4" t="s">
        <v>272</v>
      </c>
      <c r="AK381" s="4" t="s">
        <v>271</v>
      </c>
    </row>
    <row r="382" spans="1:38">
      <c r="A382" s="4" t="s">
        <v>89</v>
      </c>
      <c r="B382" s="4" t="s">
        <v>88</v>
      </c>
      <c r="C382" s="4" t="s">
        <v>90</v>
      </c>
      <c r="F382" s="5">
        <v>42065.905032060182</v>
      </c>
      <c r="G382" s="4" t="s">
        <v>59</v>
      </c>
      <c r="AC382" s="4" t="s">
        <v>280</v>
      </c>
      <c r="AD382" s="4" t="s">
        <v>279</v>
      </c>
      <c r="AE382" s="4" t="s">
        <v>18</v>
      </c>
      <c r="AF382" s="4" t="s">
        <v>94</v>
      </c>
      <c r="AI382" s="4">
        <v>0.70607882738113403</v>
      </c>
      <c r="AJ382" s="4" t="s">
        <v>272</v>
      </c>
      <c r="AK382" s="4" t="s">
        <v>271</v>
      </c>
    </row>
    <row r="383" spans="1:38">
      <c r="A383" s="4" t="s">
        <v>89</v>
      </c>
      <c r="B383" s="4" t="s">
        <v>88</v>
      </c>
      <c r="C383" s="4" t="s">
        <v>90</v>
      </c>
      <c r="F383" s="5">
        <v>42065.905057870368</v>
      </c>
      <c r="G383" s="4" t="s">
        <v>19</v>
      </c>
      <c r="H383" s="4">
        <v>24</v>
      </c>
      <c r="I383" s="4">
        <v>139.40778</v>
      </c>
      <c r="J383" s="4">
        <v>35.57949</v>
      </c>
      <c r="K383" s="4" t="s">
        <v>334</v>
      </c>
      <c r="N383" s="4" t="s">
        <v>210</v>
      </c>
      <c r="O383" s="4" t="b">
        <v>1</v>
      </c>
      <c r="P383" s="4" t="b">
        <v>0</v>
      </c>
      <c r="Q383" s="4" t="b">
        <v>0</v>
      </c>
      <c r="R383" s="4" t="b">
        <v>0</v>
      </c>
      <c r="S383" s="4" t="b">
        <v>0</v>
      </c>
      <c r="T383" s="4" t="b">
        <v>0</v>
      </c>
      <c r="U383" s="4" t="b">
        <v>0</v>
      </c>
      <c r="V383" s="4" t="b">
        <v>0</v>
      </c>
      <c r="W383" s="4" t="b">
        <v>0</v>
      </c>
      <c r="X383" s="4" t="b">
        <v>1</v>
      </c>
      <c r="Y383" s="4" t="b">
        <v>1</v>
      </c>
    </row>
    <row r="384" spans="1:38">
      <c r="A384" s="4" t="s">
        <v>89</v>
      </c>
      <c r="B384" s="4" t="s">
        <v>88</v>
      </c>
      <c r="C384" s="4" t="s">
        <v>90</v>
      </c>
      <c r="F384" s="5">
        <v>42065.905067395834</v>
      </c>
      <c r="G384" s="4" t="s">
        <v>59</v>
      </c>
      <c r="AC384" s="4" t="s">
        <v>274</v>
      </c>
      <c r="AD384" s="4" t="s">
        <v>273</v>
      </c>
      <c r="AE384" s="4" t="s">
        <v>18</v>
      </c>
      <c r="AF384" s="4" t="s">
        <v>94</v>
      </c>
      <c r="AI384" s="4">
        <v>9.5320625305175781</v>
      </c>
      <c r="AJ384" s="4" t="s">
        <v>272</v>
      </c>
      <c r="AK384" s="4" t="s">
        <v>271</v>
      </c>
    </row>
    <row r="385" spans="1:37">
      <c r="A385" s="4" t="s">
        <v>89</v>
      </c>
      <c r="B385" s="4" t="s">
        <v>88</v>
      </c>
      <c r="C385" s="4" t="s">
        <v>90</v>
      </c>
      <c r="F385" s="5">
        <v>42065.905067395834</v>
      </c>
      <c r="G385" s="4" t="s">
        <v>59</v>
      </c>
      <c r="AC385" s="4" t="s">
        <v>280</v>
      </c>
      <c r="AD385" s="4" t="s">
        <v>279</v>
      </c>
      <c r="AE385" s="4" t="s">
        <v>18</v>
      </c>
      <c r="AF385" s="4" t="s">
        <v>94</v>
      </c>
      <c r="AI385" s="4">
        <v>0.52955907583236694</v>
      </c>
      <c r="AJ385" s="4" t="s">
        <v>272</v>
      </c>
      <c r="AK385" s="4" t="s">
        <v>271</v>
      </c>
    </row>
    <row r="386" spans="1:37">
      <c r="A386" s="4" t="s">
        <v>89</v>
      </c>
      <c r="B386" s="4" t="s">
        <v>88</v>
      </c>
      <c r="C386" s="4" t="s">
        <v>90</v>
      </c>
      <c r="F386" s="5">
        <v>42065.905067395834</v>
      </c>
      <c r="G386" s="4" t="s">
        <v>59</v>
      </c>
      <c r="AC386" s="4" t="s">
        <v>282</v>
      </c>
      <c r="AD386" s="4" t="s">
        <v>281</v>
      </c>
      <c r="AE386" s="4" t="s">
        <v>18</v>
      </c>
      <c r="AF386" s="4" t="s">
        <v>94</v>
      </c>
      <c r="AI386" s="4">
        <v>0.88259851932525635</v>
      </c>
      <c r="AJ386" s="4" t="s">
        <v>272</v>
      </c>
      <c r="AK386" s="4" t="s">
        <v>271</v>
      </c>
    </row>
    <row r="387" spans="1:37">
      <c r="A387" s="4" t="s">
        <v>89</v>
      </c>
      <c r="B387" s="4" t="s">
        <v>88</v>
      </c>
      <c r="C387" s="4" t="s">
        <v>90</v>
      </c>
      <c r="F387" s="5">
        <v>42065.905100694443</v>
      </c>
      <c r="G387" s="4" t="s">
        <v>59</v>
      </c>
      <c r="AC387" s="4" t="s">
        <v>217</v>
      </c>
      <c r="AD387" s="4" t="s">
        <v>216</v>
      </c>
      <c r="AE387" s="4" t="s">
        <v>18</v>
      </c>
      <c r="AF387" s="4" t="s">
        <v>94</v>
      </c>
      <c r="AI387" s="4">
        <v>13.8597775</v>
      </c>
      <c r="AJ387" s="4" t="s">
        <v>142</v>
      </c>
      <c r="AK387" s="4" t="s">
        <v>141</v>
      </c>
    </row>
    <row r="388" spans="1:37">
      <c r="A388" s="4" t="s">
        <v>89</v>
      </c>
      <c r="B388" s="4" t="s">
        <v>88</v>
      </c>
      <c r="C388" s="4" t="s">
        <v>90</v>
      </c>
      <c r="F388" s="5">
        <v>42065.905127395832</v>
      </c>
      <c r="G388" s="4" t="s">
        <v>59</v>
      </c>
      <c r="AC388" s="4" t="s">
        <v>165</v>
      </c>
      <c r="AD388" s="4" t="s">
        <v>164</v>
      </c>
      <c r="AE388" s="4" t="s">
        <v>18</v>
      </c>
      <c r="AF388" s="4" t="s">
        <v>94</v>
      </c>
      <c r="AI388" s="4">
        <v>1447.25</v>
      </c>
      <c r="AJ388" s="4" t="s">
        <v>163</v>
      </c>
      <c r="AK388" s="4" t="s">
        <v>162</v>
      </c>
    </row>
    <row r="389" spans="1:37">
      <c r="A389" s="4" t="s">
        <v>89</v>
      </c>
      <c r="B389" s="4" t="s">
        <v>88</v>
      </c>
      <c r="C389" s="4" t="s">
        <v>90</v>
      </c>
      <c r="F389" s="5">
        <v>42065.905162037037</v>
      </c>
      <c r="G389" s="4" t="s">
        <v>19</v>
      </c>
      <c r="H389" s="4">
        <v>37</v>
      </c>
      <c r="I389" s="4">
        <v>139.40714</v>
      </c>
      <c r="J389" s="4">
        <v>35.579059999999998</v>
      </c>
      <c r="K389" s="4" t="s">
        <v>335</v>
      </c>
      <c r="N389" s="4" t="s">
        <v>211</v>
      </c>
      <c r="O389" s="4" t="b">
        <v>1</v>
      </c>
      <c r="P389" s="4" t="b">
        <v>0</v>
      </c>
      <c r="Q389" s="4" t="b">
        <v>0</v>
      </c>
      <c r="R389" s="4" t="b">
        <v>0</v>
      </c>
      <c r="S389" s="4" t="b">
        <v>0</v>
      </c>
      <c r="T389" s="4" t="b">
        <v>0</v>
      </c>
      <c r="U389" s="4" t="b">
        <v>0</v>
      </c>
      <c r="V389" s="4" t="b">
        <v>0</v>
      </c>
      <c r="W389" s="4" t="b">
        <v>0</v>
      </c>
      <c r="X389" s="4" t="b">
        <v>1</v>
      </c>
      <c r="Y389" s="4" t="b">
        <v>1</v>
      </c>
    </row>
    <row r="390" spans="1:37">
      <c r="A390" s="4" t="s">
        <v>89</v>
      </c>
      <c r="B390" s="4" t="s">
        <v>88</v>
      </c>
      <c r="C390" s="4" t="s">
        <v>90</v>
      </c>
      <c r="F390" s="5">
        <v>42065.905292280091</v>
      </c>
      <c r="G390" s="4" t="s">
        <v>59</v>
      </c>
      <c r="AC390" s="4" t="s">
        <v>280</v>
      </c>
      <c r="AD390" s="4" t="s">
        <v>279</v>
      </c>
      <c r="AE390" s="4" t="s">
        <v>18</v>
      </c>
      <c r="AF390" s="4" t="s">
        <v>94</v>
      </c>
      <c r="AI390" s="4">
        <v>-1.2356380224227905</v>
      </c>
      <c r="AJ390" s="4" t="s">
        <v>272</v>
      </c>
      <c r="AK390" s="4" t="s">
        <v>271</v>
      </c>
    </row>
    <row r="391" spans="1:37">
      <c r="A391" s="4" t="s">
        <v>89</v>
      </c>
      <c r="B391" s="4" t="s">
        <v>88</v>
      </c>
      <c r="C391" s="4" t="s">
        <v>90</v>
      </c>
      <c r="F391" s="5">
        <v>42065.905292280091</v>
      </c>
      <c r="G391" s="4" t="s">
        <v>59</v>
      </c>
      <c r="AC391" s="4" t="s">
        <v>282</v>
      </c>
      <c r="AD391" s="4" t="s">
        <v>281</v>
      </c>
      <c r="AE391" s="4" t="s">
        <v>18</v>
      </c>
      <c r="AF391" s="4" t="s">
        <v>94</v>
      </c>
      <c r="AI391" s="4">
        <v>0</v>
      </c>
      <c r="AJ391" s="4" t="s">
        <v>272</v>
      </c>
      <c r="AK391" s="4" t="s">
        <v>271</v>
      </c>
    </row>
    <row r="392" spans="1:37">
      <c r="A392" s="4" t="s">
        <v>89</v>
      </c>
      <c r="B392" s="4" t="s">
        <v>88</v>
      </c>
      <c r="C392" s="4" t="s">
        <v>90</v>
      </c>
      <c r="F392" s="5">
        <v>42065.905292280091</v>
      </c>
      <c r="G392" s="4" t="s">
        <v>59</v>
      </c>
      <c r="AC392" s="4" t="s">
        <v>274</v>
      </c>
      <c r="AD392" s="4" t="s">
        <v>273</v>
      </c>
      <c r="AE392" s="4" t="s">
        <v>18</v>
      </c>
      <c r="AF392" s="4" t="s">
        <v>94</v>
      </c>
      <c r="AI392" s="4">
        <v>9.5320625305175781</v>
      </c>
      <c r="AJ392" s="4" t="s">
        <v>272</v>
      </c>
      <c r="AK392" s="4" t="s">
        <v>271</v>
      </c>
    </row>
    <row r="393" spans="1:37">
      <c r="A393" s="4" t="s">
        <v>89</v>
      </c>
      <c r="B393" s="4" t="s">
        <v>88</v>
      </c>
      <c r="C393" s="4" t="s">
        <v>90</v>
      </c>
      <c r="F393" s="5">
        <v>42065.905332175927</v>
      </c>
      <c r="G393" s="4" t="s">
        <v>59</v>
      </c>
      <c r="AC393" s="4" t="s">
        <v>217</v>
      </c>
      <c r="AD393" s="4" t="s">
        <v>216</v>
      </c>
      <c r="AE393" s="4" t="s">
        <v>18</v>
      </c>
      <c r="AF393" s="4" t="s">
        <v>94</v>
      </c>
      <c r="AI393" s="4">
        <v>13.251555400000001</v>
      </c>
      <c r="AJ393" s="4" t="s">
        <v>142</v>
      </c>
      <c r="AK393" s="4" t="s">
        <v>141</v>
      </c>
    </row>
    <row r="394" spans="1:37">
      <c r="A394" s="4" t="s">
        <v>89</v>
      </c>
      <c r="B394" s="4" t="s">
        <v>88</v>
      </c>
      <c r="C394" s="4" t="s">
        <v>90</v>
      </c>
      <c r="F394" s="5">
        <v>42065.905347222222</v>
      </c>
      <c r="G394" s="4" t="s">
        <v>19</v>
      </c>
      <c r="H394" s="4">
        <v>0</v>
      </c>
      <c r="I394" s="4">
        <v>139.40634</v>
      </c>
      <c r="J394" s="4">
        <v>35.578519999999997</v>
      </c>
      <c r="K394" s="4" t="s">
        <v>336</v>
      </c>
      <c r="N394" s="4" t="s">
        <v>195</v>
      </c>
      <c r="O394" s="4" t="b">
        <v>1</v>
      </c>
      <c r="P394" s="4" t="b">
        <v>0</v>
      </c>
      <c r="Q394" s="4" t="b">
        <v>0</v>
      </c>
      <c r="R394" s="4" t="b">
        <v>0</v>
      </c>
      <c r="S394" s="4" t="b">
        <v>0</v>
      </c>
      <c r="T394" s="4" t="b">
        <v>0</v>
      </c>
      <c r="U394" s="4" t="b">
        <v>0</v>
      </c>
      <c r="V394" s="4" t="b">
        <v>0</v>
      </c>
      <c r="W394" s="4" t="b">
        <v>0</v>
      </c>
      <c r="X394" s="4" t="b">
        <v>1</v>
      </c>
      <c r="Y394" s="4" t="b">
        <v>1</v>
      </c>
    </row>
    <row r="395" spans="1:37">
      <c r="A395" s="4" t="s">
        <v>89</v>
      </c>
      <c r="B395" s="4" t="s">
        <v>88</v>
      </c>
      <c r="C395" s="4" t="s">
        <v>90</v>
      </c>
      <c r="F395" s="5">
        <v>42065.905370370368</v>
      </c>
      <c r="G395" s="4" t="s">
        <v>19</v>
      </c>
      <c r="H395" s="4">
        <v>1</v>
      </c>
      <c r="I395" s="4">
        <v>139.40634</v>
      </c>
      <c r="J395" s="4">
        <v>35.578519999999997</v>
      </c>
      <c r="K395" s="4" t="s">
        <v>336</v>
      </c>
      <c r="N395" s="4" t="s">
        <v>195</v>
      </c>
      <c r="O395" s="4" t="b">
        <v>1</v>
      </c>
      <c r="P395" s="4" t="b">
        <v>0</v>
      </c>
      <c r="Q395" s="4" t="b">
        <v>0</v>
      </c>
      <c r="R395" s="4" t="b">
        <v>0</v>
      </c>
      <c r="S395" s="4" t="b">
        <v>0</v>
      </c>
      <c r="T395" s="4" t="b">
        <v>0</v>
      </c>
      <c r="U395" s="4" t="b">
        <v>0</v>
      </c>
      <c r="V395" s="4" t="b">
        <v>0</v>
      </c>
      <c r="W395" s="4" t="b">
        <v>0</v>
      </c>
      <c r="X395" s="4" t="b">
        <v>1</v>
      </c>
      <c r="Y395" s="4" t="b">
        <v>1</v>
      </c>
    </row>
    <row r="396" spans="1:37">
      <c r="A396" s="4" t="s">
        <v>89</v>
      </c>
      <c r="B396" s="4" t="s">
        <v>88</v>
      </c>
      <c r="C396" s="4" t="s">
        <v>90</v>
      </c>
      <c r="F396" s="5">
        <v>42065.90537083333</v>
      </c>
      <c r="G396" s="4" t="s">
        <v>59</v>
      </c>
      <c r="AC396" s="4" t="s">
        <v>165</v>
      </c>
      <c r="AD396" s="4" t="s">
        <v>164</v>
      </c>
      <c r="AE396" s="4" t="s">
        <v>18</v>
      </c>
      <c r="AF396" s="4" t="s">
        <v>94</v>
      </c>
      <c r="AI396" s="4">
        <v>748.25</v>
      </c>
      <c r="AJ396" s="4" t="s">
        <v>163</v>
      </c>
      <c r="AK396" s="4" t="s">
        <v>162</v>
      </c>
    </row>
    <row r="397" spans="1:37">
      <c r="A397" s="4" t="s">
        <v>89</v>
      </c>
      <c r="B397" s="4" t="s">
        <v>88</v>
      </c>
      <c r="C397" s="4" t="s">
        <v>90</v>
      </c>
      <c r="F397" s="5">
        <v>42065.905397604169</v>
      </c>
      <c r="G397" s="4" t="s">
        <v>59</v>
      </c>
      <c r="AC397" s="4" t="s">
        <v>280</v>
      </c>
      <c r="AD397" s="4" t="s">
        <v>279</v>
      </c>
      <c r="AE397" s="4" t="s">
        <v>18</v>
      </c>
      <c r="AF397" s="4" t="s">
        <v>94</v>
      </c>
      <c r="AI397" s="4">
        <v>1.9417170286178589</v>
      </c>
      <c r="AJ397" s="4" t="s">
        <v>272</v>
      </c>
      <c r="AK397" s="4" t="s">
        <v>271</v>
      </c>
    </row>
    <row r="398" spans="1:37">
      <c r="A398" s="4" t="s">
        <v>89</v>
      </c>
      <c r="B398" s="4" t="s">
        <v>88</v>
      </c>
      <c r="C398" s="4" t="s">
        <v>90</v>
      </c>
      <c r="F398" s="5">
        <v>42065.905397604169</v>
      </c>
      <c r="G398" s="4" t="s">
        <v>59</v>
      </c>
      <c r="AC398" s="4" t="s">
        <v>274</v>
      </c>
      <c r="AD398" s="4" t="s">
        <v>273</v>
      </c>
      <c r="AE398" s="4" t="s">
        <v>18</v>
      </c>
      <c r="AF398" s="4" t="s">
        <v>94</v>
      </c>
      <c r="AI398" s="4">
        <v>9.1790246963500977</v>
      </c>
      <c r="AJ398" s="4" t="s">
        <v>272</v>
      </c>
      <c r="AK398" s="4" t="s">
        <v>271</v>
      </c>
    </row>
    <row r="399" spans="1:37">
      <c r="A399" s="4" t="s">
        <v>89</v>
      </c>
      <c r="B399" s="4" t="s">
        <v>88</v>
      </c>
      <c r="C399" s="4" t="s">
        <v>90</v>
      </c>
      <c r="F399" s="5">
        <v>42065.905397604169</v>
      </c>
      <c r="G399" s="4" t="s">
        <v>59</v>
      </c>
      <c r="AC399" s="4" t="s">
        <v>282</v>
      </c>
      <c r="AD399" s="4" t="s">
        <v>281</v>
      </c>
      <c r="AE399" s="4" t="s">
        <v>18</v>
      </c>
      <c r="AF399" s="4" t="s">
        <v>94</v>
      </c>
      <c r="AI399" s="4">
        <v>0</v>
      </c>
      <c r="AJ399" s="4" t="s">
        <v>272</v>
      </c>
      <c r="AK399" s="4" t="s">
        <v>271</v>
      </c>
    </row>
    <row r="400" spans="1:37">
      <c r="A400" s="4" t="s">
        <v>89</v>
      </c>
      <c r="B400" s="4" t="s">
        <v>88</v>
      </c>
      <c r="C400" s="4" t="s">
        <v>90</v>
      </c>
      <c r="F400" s="5">
        <v>42065.905405173609</v>
      </c>
      <c r="G400" s="4" t="s">
        <v>59</v>
      </c>
      <c r="AC400" s="4" t="s">
        <v>165</v>
      </c>
      <c r="AD400" s="4" t="s">
        <v>164</v>
      </c>
      <c r="AE400" s="4" t="s">
        <v>18</v>
      </c>
      <c r="AF400" s="4" t="s">
        <v>94</v>
      </c>
      <c r="AI400" s="4">
        <v>1741.5</v>
      </c>
      <c r="AJ400" s="4" t="s">
        <v>163</v>
      </c>
      <c r="AK400" s="4" t="s">
        <v>162</v>
      </c>
    </row>
    <row r="401" spans="1:38">
      <c r="A401" s="4" t="s">
        <v>89</v>
      </c>
      <c r="B401" s="4" t="s">
        <v>88</v>
      </c>
      <c r="C401" s="4" t="s">
        <v>90</v>
      </c>
      <c r="F401" s="5">
        <v>42065.905428240738</v>
      </c>
      <c r="G401" s="4" t="s">
        <v>19</v>
      </c>
      <c r="H401" s="4">
        <v>24</v>
      </c>
      <c r="I401" s="4">
        <v>139.40619000000001</v>
      </c>
      <c r="J401" s="4">
        <v>35.578420000000001</v>
      </c>
      <c r="K401" s="4" t="s">
        <v>337</v>
      </c>
      <c r="N401" s="4" t="s">
        <v>211</v>
      </c>
      <c r="O401" s="4" t="b">
        <v>1</v>
      </c>
      <c r="P401" s="4" t="b">
        <v>0</v>
      </c>
      <c r="Q401" s="4" t="b">
        <v>0</v>
      </c>
      <c r="R401" s="4" t="b">
        <v>0</v>
      </c>
      <c r="S401" s="4" t="b">
        <v>0</v>
      </c>
      <c r="T401" s="4" t="b">
        <v>0</v>
      </c>
      <c r="U401" s="4" t="b">
        <v>0</v>
      </c>
      <c r="V401" s="4" t="b">
        <v>0</v>
      </c>
      <c r="W401" s="4" t="b">
        <v>0</v>
      </c>
      <c r="X401" s="4" t="b">
        <v>1</v>
      </c>
      <c r="Y401" s="4" t="b">
        <v>1</v>
      </c>
    </row>
    <row r="402" spans="1:38">
      <c r="A402" s="4" t="s">
        <v>89</v>
      </c>
      <c r="B402" s="4" t="s">
        <v>88</v>
      </c>
      <c r="C402" s="4" t="s">
        <v>90</v>
      </c>
      <c r="F402" s="5">
        <v>42065.905439965281</v>
      </c>
      <c r="G402" s="4" t="s">
        <v>59</v>
      </c>
      <c r="AC402" s="4" t="s">
        <v>165</v>
      </c>
      <c r="AD402" s="4" t="s">
        <v>164</v>
      </c>
      <c r="AE402" s="4" t="s">
        <v>18</v>
      </c>
      <c r="AF402" s="4" t="s">
        <v>94</v>
      </c>
      <c r="AI402" s="4">
        <v>1036</v>
      </c>
      <c r="AJ402" s="4" t="s">
        <v>163</v>
      </c>
      <c r="AK402" s="4" t="s">
        <v>162</v>
      </c>
    </row>
    <row r="403" spans="1:38">
      <c r="A403" s="4" t="s">
        <v>89</v>
      </c>
      <c r="B403" s="4" t="s">
        <v>88</v>
      </c>
      <c r="C403" s="4" t="s">
        <v>90</v>
      </c>
      <c r="F403" s="5">
        <v>42065.905462962961</v>
      </c>
      <c r="G403" s="4" t="s">
        <v>98</v>
      </c>
      <c r="N403" s="4" t="s">
        <v>206</v>
      </c>
      <c r="AL403" s="4" t="s">
        <v>338</v>
      </c>
    </row>
    <row r="404" spans="1:38">
      <c r="A404" s="4" t="s">
        <v>89</v>
      </c>
      <c r="B404" s="4" t="s">
        <v>88</v>
      </c>
      <c r="C404" s="4" t="s">
        <v>90</v>
      </c>
      <c r="F404" s="5">
        <v>42065.905555555553</v>
      </c>
      <c r="G404" s="4" t="s">
        <v>98</v>
      </c>
      <c r="N404" s="4" t="s">
        <v>206</v>
      </c>
      <c r="AL404" s="4" t="s">
        <v>212</v>
      </c>
    </row>
    <row r="405" spans="1:38">
      <c r="A405" s="4" t="s">
        <v>89</v>
      </c>
      <c r="B405" s="4" t="s">
        <v>88</v>
      </c>
      <c r="C405" s="4" t="s">
        <v>90</v>
      </c>
      <c r="F405" s="5">
        <v>42065.905578703707</v>
      </c>
      <c r="G405" s="4" t="s">
        <v>19</v>
      </c>
      <c r="H405" s="4">
        <v>33</v>
      </c>
      <c r="I405" s="4">
        <v>139.40514999999999</v>
      </c>
      <c r="J405" s="4">
        <v>35.577829999999999</v>
      </c>
      <c r="K405" s="4" t="s">
        <v>339</v>
      </c>
      <c r="N405" s="4" t="s">
        <v>211</v>
      </c>
      <c r="O405" s="4" t="b">
        <v>1</v>
      </c>
      <c r="P405" s="4" t="b">
        <v>0</v>
      </c>
      <c r="Q405" s="4" t="b">
        <v>0</v>
      </c>
      <c r="R405" s="4" t="b">
        <v>0</v>
      </c>
      <c r="S405" s="4" t="b">
        <v>0</v>
      </c>
      <c r="T405" s="4" t="b">
        <v>0</v>
      </c>
      <c r="U405" s="4" t="b">
        <v>0</v>
      </c>
      <c r="V405" s="4" t="b">
        <v>0</v>
      </c>
      <c r="W405" s="4" t="b">
        <v>0</v>
      </c>
      <c r="X405" s="4" t="b">
        <v>1</v>
      </c>
      <c r="Y405" s="4" t="b">
        <v>1</v>
      </c>
    </row>
    <row r="406" spans="1:38">
      <c r="A406" s="4" t="s">
        <v>89</v>
      </c>
      <c r="B406" s="4" t="s">
        <v>88</v>
      </c>
      <c r="C406" s="4" t="s">
        <v>90</v>
      </c>
      <c r="F406" s="5">
        <v>42065.905624999999</v>
      </c>
      <c r="G406" s="4" t="s">
        <v>98</v>
      </c>
      <c r="N406" s="4" t="s">
        <v>206</v>
      </c>
      <c r="AL406" s="4" t="s">
        <v>208</v>
      </c>
    </row>
    <row r="407" spans="1:38">
      <c r="A407" s="4" t="s">
        <v>89</v>
      </c>
      <c r="B407" s="4" t="s">
        <v>88</v>
      </c>
      <c r="C407" s="4" t="s">
        <v>90</v>
      </c>
      <c r="F407" s="5">
        <v>42065.905627893517</v>
      </c>
      <c r="G407" s="4" t="s">
        <v>98</v>
      </c>
      <c r="N407" s="4" t="s">
        <v>340</v>
      </c>
      <c r="AL407" s="4" t="s">
        <v>341</v>
      </c>
    </row>
    <row r="408" spans="1:38">
      <c r="A408" s="4" t="s">
        <v>89</v>
      </c>
      <c r="B408" s="4" t="s">
        <v>88</v>
      </c>
      <c r="C408" s="4" t="s">
        <v>90</v>
      </c>
      <c r="F408" s="5">
        <v>42065.905627974535</v>
      </c>
      <c r="G408" s="4" t="s">
        <v>98</v>
      </c>
      <c r="N408" s="4" t="s">
        <v>182</v>
      </c>
      <c r="AL408" s="4" t="s">
        <v>181</v>
      </c>
    </row>
    <row r="409" spans="1:38">
      <c r="A409" s="4" t="s">
        <v>89</v>
      </c>
      <c r="B409" s="4" t="s">
        <v>88</v>
      </c>
      <c r="C409" s="4" t="s">
        <v>90</v>
      </c>
      <c r="F409" s="5">
        <v>42065.905636574076</v>
      </c>
      <c r="G409" s="4" t="s">
        <v>98</v>
      </c>
      <c r="N409" s="4" t="s">
        <v>206</v>
      </c>
      <c r="AL409" s="4" t="s">
        <v>342</v>
      </c>
    </row>
    <row r="410" spans="1:38">
      <c r="A410" s="4" t="s">
        <v>89</v>
      </c>
      <c r="B410" s="4" t="s">
        <v>88</v>
      </c>
      <c r="C410" s="4" t="s">
        <v>90</v>
      </c>
      <c r="F410" s="5">
        <v>42065.905639201388</v>
      </c>
      <c r="G410" s="4" t="s">
        <v>59</v>
      </c>
      <c r="AC410" s="4" t="s">
        <v>344</v>
      </c>
      <c r="AD410" s="4" t="s">
        <v>343</v>
      </c>
      <c r="AE410" s="4" t="s">
        <v>18</v>
      </c>
      <c r="AF410" s="4" t="s">
        <v>94</v>
      </c>
      <c r="AI410" s="4">
        <v>0</v>
      </c>
      <c r="AJ410" s="4" t="s">
        <v>18</v>
      </c>
      <c r="AK410" s="4" t="s">
        <v>91</v>
      </c>
    </row>
    <row r="411" spans="1:38">
      <c r="A411" s="4" t="s">
        <v>89</v>
      </c>
      <c r="B411" s="4" t="s">
        <v>88</v>
      </c>
      <c r="C411" s="4" t="s">
        <v>90</v>
      </c>
      <c r="F411" s="5">
        <v>42065.905659722222</v>
      </c>
      <c r="G411" s="4" t="s">
        <v>98</v>
      </c>
      <c r="N411" s="4" t="s">
        <v>206</v>
      </c>
      <c r="AL411" s="4" t="s">
        <v>208</v>
      </c>
    </row>
    <row r="412" spans="1:38">
      <c r="A412" s="4" t="s">
        <v>89</v>
      </c>
      <c r="B412" s="4" t="s">
        <v>88</v>
      </c>
      <c r="C412" s="4" t="s">
        <v>90</v>
      </c>
      <c r="F412" s="5">
        <v>42065.905682870369</v>
      </c>
      <c r="G412" s="4" t="s">
        <v>98</v>
      </c>
      <c r="N412" s="4" t="s">
        <v>206</v>
      </c>
      <c r="AL412" s="4" t="s">
        <v>208</v>
      </c>
    </row>
    <row r="413" spans="1:38">
      <c r="A413" s="4" t="s">
        <v>89</v>
      </c>
      <c r="B413" s="4" t="s">
        <v>88</v>
      </c>
      <c r="C413" s="4" t="s">
        <v>90</v>
      </c>
      <c r="F413" s="5">
        <v>42065.905706018515</v>
      </c>
      <c r="G413" s="4" t="s">
        <v>19</v>
      </c>
      <c r="H413" s="4">
        <v>0</v>
      </c>
      <c r="I413" s="4">
        <v>139.40468000000001</v>
      </c>
      <c r="J413" s="4">
        <v>35.57752</v>
      </c>
      <c r="K413" s="4" t="s">
        <v>345</v>
      </c>
      <c r="N413" s="4" t="s">
        <v>195</v>
      </c>
      <c r="O413" s="4" t="b">
        <v>1</v>
      </c>
      <c r="P413" s="4" t="b">
        <v>0</v>
      </c>
      <c r="Q413" s="4" t="b">
        <v>0</v>
      </c>
      <c r="R413" s="4" t="b">
        <v>0</v>
      </c>
      <c r="S413" s="4" t="b">
        <v>0</v>
      </c>
      <c r="T413" s="4" t="b">
        <v>0</v>
      </c>
      <c r="U413" s="4" t="b">
        <v>0</v>
      </c>
      <c r="V413" s="4" t="b">
        <v>0</v>
      </c>
      <c r="W413" s="4" t="b">
        <v>0</v>
      </c>
      <c r="X413" s="4" t="b">
        <v>1</v>
      </c>
      <c r="Y413" s="4" t="b">
        <v>1</v>
      </c>
    </row>
    <row r="414" spans="1:38">
      <c r="A414" s="4" t="s">
        <v>89</v>
      </c>
      <c r="B414" s="4" t="s">
        <v>88</v>
      </c>
      <c r="C414" s="4" t="s">
        <v>90</v>
      </c>
      <c r="F414" s="5">
        <v>42065.905740740738</v>
      </c>
      <c r="G414" s="4" t="s">
        <v>19</v>
      </c>
      <c r="H414" s="4">
        <v>2</v>
      </c>
      <c r="I414" s="4">
        <v>139.40468000000001</v>
      </c>
      <c r="J414" s="4">
        <v>35.57752</v>
      </c>
      <c r="K414" s="4" t="s">
        <v>345</v>
      </c>
      <c r="N414" s="4" t="s">
        <v>195</v>
      </c>
      <c r="O414" s="4" t="b">
        <v>1</v>
      </c>
      <c r="P414" s="4" t="b">
        <v>0</v>
      </c>
      <c r="Q414" s="4" t="b">
        <v>0</v>
      </c>
      <c r="R414" s="4" t="b">
        <v>0</v>
      </c>
      <c r="S414" s="4" t="b">
        <v>0</v>
      </c>
      <c r="T414" s="4" t="b">
        <v>0</v>
      </c>
      <c r="U414" s="4" t="b">
        <v>0</v>
      </c>
      <c r="V414" s="4" t="b">
        <v>0</v>
      </c>
      <c r="W414" s="4" t="b">
        <v>0</v>
      </c>
      <c r="X414" s="4" t="b">
        <v>1</v>
      </c>
      <c r="Y414" s="4" t="b">
        <v>1</v>
      </c>
    </row>
    <row r="415" spans="1:38">
      <c r="A415" s="4" t="s">
        <v>89</v>
      </c>
      <c r="B415" s="4" t="s">
        <v>88</v>
      </c>
      <c r="C415" s="4" t="s">
        <v>90</v>
      </c>
      <c r="F415" s="5">
        <v>42065.905740821756</v>
      </c>
      <c r="G415" s="4" t="s">
        <v>59</v>
      </c>
      <c r="AC415" s="4" t="s">
        <v>165</v>
      </c>
      <c r="AD415" s="4" t="s">
        <v>164</v>
      </c>
      <c r="AE415" s="4" t="s">
        <v>18</v>
      </c>
      <c r="AF415" s="4" t="s">
        <v>94</v>
      </c>
      <c r="AI415" s="4">
        <v>734.25</v>
      </c>
      <c r="AJ415" s="4" t="s">
        <v>163</v>
      </c>
      <c r="AK415" s="4" t="s">
        <v>162</v>
      </c>
    </row>
    <row r="416" spans="1:38">
      <c r="A416" s="4" t="s">
        <v>89</v>
      </c>
      <c r="B416" s="4" t="s">
        <v>88</v>
      </c>
      <c r="C416" s="4" t="s">
        <v>90</v>
      </c>
      <c r="F416" s="5">
        <v>42065.905775694446</v>
      </c>
      <c r="G416" s="4" t="s">
        <v>59</v>
      </c>
      <c r="AC416" s="4" t="s">
        <v>165</v>
      </c>
      <c r="AD416" s="4" t="s">
        <v>164</v>
      </c>
      <c r="AE416" s="4" t="s">
        <v>18</v>
      </c>
      <c r="AF416" s="4" t="s">
        <v>94</v>
      </c>
      <c r="AI416" s="4">
        <v>1820.75</v>
      </c>
      <c r="AJ416" s="4" t="s">
        <v>163</v>
      </c>
      <c r="AK416" s="4" t="s">
        <v>162</v>
      </c>
    </row>
    <row r="417" spans="1:37">
      <c r="A417" s="4" t="s">
        <v>89</v>
      </c>
      <c r="B417" s="4" t="s">
        <v>88</v>
      </c>
      <c r="C417" s="4" t="s">
        <v>90</v>
      </c>
      <c r="F417" s="5">
        <v>42065.905810266202</v>
      </c>
      <c r="G417" s="4" t="s">
        <v>59</v>
      </c>
      <c r="AC417" s="4" t="s">
        <v>165</v>
      </c>
      <c r="AD417" s="4" t="s">
        <v>164</v>
      </c>
      <c r="AE417" s="4" t="s">
        <v>18</v>
      </c>
      <c r="AF417" s="4" t="s">
        <v>94</v>
      </c>
      <c r="AI417" s="4">
        <v>1128.75</v>
      </c>
      <c r="AJ417" s="4" t="s">
        <v>163</v>
      </c>
      <c r="AK417" s="4" t="s">
        <v>162</v>
      </c>
    </row>
    <row r="418" spans="1:37">
      <c r="A418" s="4" t="s">
        <v>89</v>
      </c>
      <c r="B418" s="4" t="s">
        <v>88</v>
      </c>
      <c r="C418" s="4" t="s">
        <v>90</v>
      </c>
      <c r="F418" s="5">
        <v>42065.905902777777</v>
      </c>
      <c r="G418" s="4" t="s">
        <v>19</v>
      </c>
      <c r="H418" s="4">
        <v>41</v>
      </c>
      <c r="I418" s="4">
        <v>139.40385000000001</v>
      </c>
      <c r="J418" s="4">
        <v>35.577010000000001</v>
      </c>
      <c r="K418" s="4" t="s">
        <v>346</v>
      </c>
      <c r="N418" s="4" t="s">
        <v>211</v>
      </c>
      <c r="O418" s="4" t="b">
        <v>1</v>
      </c>
      <c r="P418" s="4" t="b">
        <v>0</v>
      </c>
      <c r="Q418" s="4" t="b">
        <v>0</v>
      </c>
      <c r="R418" s="4" t="b">
        <v>0</v>
      </c>
      <c r="S418" s="4" t="b">
        <v>0</v>
      </c>
      <c r="T418" s="4" t="b">
        <v>0</v>
      </c>
      <c r="U418" s="4" t="b">
        <v>0</v>
      </c>
      <c r="V418" s="4" t="b">
        <v>0</v>
      </c>
      <c r="W418" s="4" t="b">
        <v>0</v>
      </c>
      <c r="X418" s="4" t="b">
        <v>1</v>
      </c>
      <c r="Y418" s="4" t="b">
        <v>1</v>
      </c>
    </row>
    <row r="419" spans="1:37">
      <c r="A419" s="4" t="s">
        <v>89</v>
      </c>
      <c r="B419" s="4" t="s">
        <v>88</v>
      </c>
      <c r="C419" s="4" t="s">
        <v>90</v>
      </c>
      <c r="F419" s="5">
        <v>42065.905972222223</v>
      </c>
      <c r="G419" s="4" t="s">
        <v>19</v>
      </c>
      <c r="H419" s="4">
        <v>37</v>
      </c>
      <c r="I419" s="4">
        <v>139.40325999999999</v>
      </c>
      <c r="J419" s="4">
        <v>35.576630000000002</v>
      </c>
      <c r="K419" s="4" t="s">
        <v>347</v>
      </c>
      <c r="N419" s="4" t="s">
        <v>224</v>
      </c>
      <c r="O419" s="4" t="b">
        <v>1</v>
      </c>
      <c r="P419" s="4" t="b">
        <v>0</v>
      </c>
      <c r="Q419" s="4" t="b">
        <v>0</v>
      </c>
      <c r="R419" s="4" t="b">
        <v>0</v>
      </c>
      <c r="S419" s="4" t="b">
        <v>0</v>
      </c>
      <c r="T419" s="4" t="b">
        <v>0</v>
      </c>
      <c r="U419" s="4" t="b">
        <v>0</v>
      </c>
      <c r="V419" s="4" t="b">
        <v>0</v>
      </c>
      <c r="W419" s="4" t="b">
        <v>0</v>
      </c>
      <c r="X419" s="4" t="b">
        <v>1</v>
      </c>
      <c r="Y419" s="4" t="b">
        <v>1</v>
      </c>
    </row>
    <row r="420" spans="1:37">
      <c r="A420" s="4" t="s">
        <v>89</v>
      </c>
      <c r="B420" s="4" t="s">
        <v>88</v>
      </c>
      <c r="C420" s="4" t="s">
        <v>90</v>
      </c>
      <c r="F420" s="5">
        <v>42065.906000659721</v>
      </c>
      <c r="G420" s="4" t="s">
        <v>59</v>
      </c>
      <c r="AC420" s="4" t="s">
        <v>203</v>
      </c>
      <c r="AD420" s="4" t="s">
        <v>202</v>
      </c>
      <c r="AE420" s="4" t="s">
        <v>18</v>
      </c>
      <c r="AF420" s="4" t="s">
        <v>94</v>
      </c>
      <c r="AI420" s="4">
        <v>65</v>
      </c>
      <c r="AJ420" s="4" t="s">
        <v>201</v>
      </c>
      <c r="AK420" s="4" t="s">
        <v>200</v>
      </c>
    </row>
    <row r="421" spans="1:37">
      <c r="A421" s="4" t="s">
        <v>89</v>
      </c>
      <c r="B421" s="4" t="s">
        <v>88</v>
      </c>
      <c r="C421" s="4" t="s">
        <v>90</v>
      </c>
      <c r="F421" s="5">
        <v>42065.906215509262</v>
      </c>
      <c r="G421" s="4" t="s">
        <v>59</v>
      </c>
      <c r="AC421" s="4" t="s">
        <v>165</v>
      </c>
      <c r="AD421" s="4" t="s">
        <v>164</v>
      </c>
      <c r="AE421" s="4" t="s">
        <v>18</v>
      </c>
      <c r="AF421" s="4" t="s">
        <v>94</v>
      </c>
      <c r="AI421" s="4">
        <v>1081</v>
      </c>
      <c r="AJ421" s="4" t="s">
        <v>163</v>
      </c>
      <c r="AK421" s="4" t="s">
        <v>162</v>
      </c>
    </row>
    <row r="422" spans="1:37">
      <c r="A422" s="4" t="s">
        <v>89</v>
      </c>
      <c r="B422" s="4" t="s">
        <v>88</v>
      </c>
      <c r="C422" s="4" t="s">
        <v>90</v>
      </c>
      <c r="F422" s="5">
        <v>42065.906238657408</v>
      </c>
      <c r="G422" s="4" t="s">
        <v>59</v>
      </c>
      <c r="AC422" s="4" t="s">
        <v>165</v>
      </c>
      <c r="AD422" s="4" t="s">
        <v>164</v>
      </c>
      <c r="AE422" s="4" t="s">
        <v>18</v>
      </c>
      <c r="AF422" s="4" t="s">
        <v>94</v>
      </c>
      <c r="AI422" s="4">
        <v>1857</v>
      </c>
      <c r="AJ422" s="4" t="s">
        <v>163</v>
      </c>
      <c r="AK422" s="4" t="s">
        <v>162</v>
      </c>
    </row>
    <row r="423" spans="1:37">
      <c r="A423" s="4" t="s">
        <v>89</v>
      </c>
      <c r="B423" s="4" t="s">
        <v>88</v>
      </c>
      <c r="C423" s="4" t="s">
        <v>90</v>
      </c>
      <c r="F423" s="5">
        <v>42065.906273298613</v>
      </c>
      <c r="G423" s="4" t="s">
        <v>59</v>
      </c>
      <c r="AC423" s="4" t="s">
        <v>165</v>
      </c>
      <c r="AD423" s="4" t="s">
        <v>164</v>
      </c>
      <c r="AE423" s="4" t="s">
        <v>18</v>
      </c>
      <c r="AF423" s="4" t="s">
        <v>94</v>
      </c>
      <c r="AI423" s="4">
        <v>1248.75</v>
      </c>
      <c r="AJ423" s="4" t="s">
        <v>163</v>
      </c>
      <c r="AK423" s="4" t="s">
        <v>162</v>
      </c>
    </row>
    <row r="424" spans="1:37">
      <c r="A424" s="4" t="s">
        <v>89</v>
      </c>
      <c r="B424" s="4" t="s">
        <v>88</v>
      </c>
      <c r="C424" s="4" t="s">
        <v>90</v>
      </c>
      <c r="F424" s="5">
        <v>42065.906490706016</v>
      </c>
      <c r="G424" s="4" t="s">
        <v>59</v>
      </c>
      <c r="AC424" s="4" t="s">
        <v>217</v>
      </c>
      <c r="AD424" s="4" t="s">
        <v>216</v>
      </c>
      <c r="AE424" s="4" t="s">
        <v>18</v>
      </c>
      <c r="AF424" s="4" t="s">
        <v>94</v>
      </c>
      <c r="AI424" s="4">
        <v>13.573555000000001</v>
      </c>
      <c r="AJ424" s="4" t="s">
        <v>142</v>
      </c>
      <c r="AK424" s="4" t="s">
        <v>141</v>
      </c>
    </row>
    <row r="425" spans="1:37">
      <c r="A425" s="4" t="s">
        <v>89</v>
      </c>
      <c r="B425" s="4" t="s">
        <v>88</v>
      </c>
      <c r="C425" s="4" t="s">
        <v>90</v>
      </c>
      <c r="F425" s="5">
        <v>42065.906586724537</v>
      </c>
      <c r="G425" s="4" t="s">
        <v>59</v>
      </c>
      <c r="AC425" s="4" t="s">
        <v>310</v>
      </c>
      <c r="AD425" s="4" t="s">
        <v>309</v>
      </c>
      <c r="AE425" s="4" t="s">
        <v>18</v>
      </c>
      <c r="AF425" s="4" t="s">
        <v>94</v>
      </c>
      <c r="AI425" s="4">
        <v>126</v>
      </c>
      <c r="AJ425" s="4" t="s">
        <v>18</v>
      </c>
      <c r="AK425" s="4" t="s">
        <v>91</v>
      </c>
    </row>
  </sheetData>
  <pageMargins left="0.75" right="0.75" top="1" bottom="1" header="0.5" footer="0.5"/>
  <pageSetup fitToHeight="100" orientation="landscape" horizontalDpi="300" verticalDpi="300" copies="0"/>
  <headerFooter alignWithMargins="0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>
  <dimension ref="A1:AC428"/>
  <sheetViews>
    <sheetView showGridLines="0" workbookViewId="0">
      <pane ySplit="8" topLeftCell="A9" activePane="bottomLeft" state="frozen"/>
      <selection pane="bottomLeft"/>
    </sheetView>
  </sheetViews>
  <sheetFormatPr defaultRowHeight="12.75"/>
  <cols>
    <col min="1" max="1" width="18.5703125" customWidth="1"/>
    <col min="2" max="2" width="22.140625" customWidth="1"/>
    <col min="3" max="3" width="11.7109375" style="1" hidden="1" customWidth="1"/>
    <col min="4" max="4" width="14.28515625" style="1" customWidth="1"/>
    <col min="5" max="5" width="12.140625" style="2" customWidth="1"/>
    <col min="6" max="6" width="18.42578125" customWidth="1"/>
    <col min="7" max="7" width="11.42578125" customWidth="1"/>
    <col min="8" max="8" width="12.85546875" customWidth="1"/>
    <col min="9" max="9" width="9.85546875" customWidth="1"/>
    <col min="10" max="10" width="59.140625" customWidth="1"/>
    <col min="11" max="11" width="22.42578125" hidden="1" customWidth="1"/>
    <col min="12" max="12" width="11.42578125" customWidth="1"/>
    <col min="13" max="13" width="9.28515625" customWidth="1"/>
    <col min="14" max="14" width="8.7109375" customWidth="1"/>
    <col min="15" max="22" width="9.28515625" customWidth="1"/>
    <col min="23" max="23" width="10.42578125" customWidth="1"/>
    <col min="24" max="24" width="10.42578125" hidden="1" customWidth="1"/>
    <col min="25" max="25" width="36.85546875" customWidth="1"/>
    <col min="26" max="26" width="38.28515625" customWidth="1"/>
    <col min="27" max="27" width="19.140625" customWidth="1"/>
    <col min="28" max="28" width="31" customWidth="1"/>
    <col min="29" max="29" width="13.5703125" customWidth="1"/>
  </cols>
  <sheetData>
    <row r="1" spans="1:29" s="11" customFormat="1" ht="23.25">
      <c r="A1" s="11" t="s">
        <v>21</v>
      </c>
      <c r="C1" s="12"/>
      <c r="D1" s="12"/>
      <c r="E1" s="13"/>
      <c r="F1" s="14">
        <f>Data!B2</f>
        <v>42065.962636481483</v>
      </c>
    </row>
    <row r="2" spans="1:29" s="7" customFormat="1" ht="15">
      <c r="B2" s="10"/>
      <c r="C2" s="8"/>
      <c r="D2" s="8"/>
      <c r="E2" s="9"/>
    </row>
    <row r="3" spans="1:29" s="7" customFormat="1" ht="15">
      <c r="C3" s="8"/>
      <c r="D3" s="8"/>
      <c r="E3" s="9"/>
    </row>
    <row r="4" spans="1:29" s="7" customFormat="1" ht="15">
      <c r="A4" s="15" t="s">
        <v>72</v>
      </c>
      <c r="B4" s="23">
        <f>Data!B3</f>
        <v>42065</v>
      </c>
      <c r="C4" s="8"/>
      <c r="D4" s="8"/>
      <c r="E4" s="9"/>
    </row>
    <row r="5" spans="1:29" s="7" customFormat="1" ht="15">
      <c r="A5" s="15" t="s">
        <v>73</v>
      </c>
      <c r="B5" s="23">
        <f>Data!B4</f>
        <v>42065.999988425923</v>
      </c>
      <c r="C5" s="8"/>
      <c r="D5" s="8"/>
      <c r="E5" s="9"/>
    </row>
    <row r="6" spans="1:29" s="7" customFormat="1" ht="15">
      <c r="A6" s="15" t="s">
        <v>78</v>
      </c>
      <c r="B6" s="16" t="str">
        <f>Data!B5</f>
        <v>km/h</v>
      </c>
      <c r="C6" s="8"/>
      <c r="D6" s="8"/>
      <c r="E6" s="9"/>
    </row>
    <row r="7" spans="1:29" s="7" customFormat="1" ht="15">
      <c r="C7" s="8"/>
      <c r="D7" s="8"/>
      <c r="E7" s="9"/>
    </row>
    <row r="8" spans="1:29" s="17" customFormat="1" ht="15">
      <c r="A8" s="17" t="s">
        <v>0</v>
      </c>
      <c r="B8" s="17" t="s">
        <v>66</v>
      </c>
      <c r="C8" s="17" t="s">
        <v>1</v>
      </c>
      <c r="D8" s="18" t="s">
        <v>24</v>
      </c>
      <c r="E8" s="19" t="s">
        <v>20</v>
      </c>
      <c r="F8" s="17" t="s">
        <v>2</v>
      </c>
      <c r="G8" s="17" t="s">
        <v>22</v>
      </c>
      <c r="H8" s="17" t="s">
        <v>3</v>
      </c>
      <c r="I8" s="17" t="s">
        <v>4</v>
      </c>
      <c r="J8" s="17" t="s">
        <v>23</v>
      </c>
      <c r="K8" s="17" t="s">
        <v>68</v>
      </c>
      <c r="L8" s="17" t="s">
        <v>5</v>
      </c>
      <c r="M8" s="17" t="s">
        <v>6</v>
      </c>
      <c r="N8" s="17" t="s">
        <v>7</v>
      </c>
      <c r="O8" s="17" t="s">
        <v>8</v>
      </c>
      <c r="P8" s="17" t="s">
        <v>9</v>
      </c>
      <c r="Q8" s="17" t="s">
        <v>10</v>
      </c>
      <c r="R8" s="17" t="s">
        <v>11</v>
      </c>
      <c r="S8" s="17" t="s">
        <v>12</v>
      </c>
      <c r="T8" s="17" t="s">
        <v>13</v>
      </c>
      <c r="U8" s="17" t="s">
        <v>14</v>
      </c>
      <c r="V8" s="17" t="s">
        <v>15</v>
      </c>
      <c r="W8" s="17" t="s">
        <v>16</v>
      </c>
      <c r="X8" s="17" t="s">
        <v>17</v>
      </c>
      <c r="Y8" s="17" t="s">
        <v>85</v>
      </c>
      <c r="Z8" s="17" t="s">
        <v>61</v>
      </c>
      <c r="AA8" s="17" t="s">
        <v>62</v>
      </c>
      <c r="AB8" s="17" t="s">
        <v>63</v>
      </c>
      <c r="AC8" s="17" t="s">
        <v>64</v>
      </c>
    </row>
    <row r="9" spans="1:29" ht="15">
      <c r="A9" s="20" t="str">
        <f>Data!A9</f>
        <v>デモ機</v>
      </c>
      <c r="B9" s="20" t="str">
        <f>Data!C9</f>
        <v>Entire Organization</v>
      </c>
      <c r="C9" s="20" t="str">
        <f>IF(Data!E9=0,"",Data!E9)</f>
        <v/>
      </c>
      <c r="D9" s="26">
        <f t="shared" ref="D9:D72" si="0">E9</f>
        <v>42065.867129629631</v>
      </c>
      <c r="E9" s="27">
        <f>Data!F9</f>
        <v>42065.867129629631</v>
      </c>
      <c r="F9" s="20" t="str">
        <f>Data!G9</f>
        <v>EngineStatusRecord</v>
      </c>
      <c r="G9" s="20">
        <f>Data!H9</f>
        <v>0</v>
      </c>
      <c r="H9" s="20">
        <f>Data!I9</f>
        <v>0</v>
      </c>
      <c r="I9" s="20">
        <f>Data!J9</f>
        <v>0</v>
      </c>
      <c r="J9" s="21" t="str">
        <f>IF(Data!K9=0,"",Data!K9)</f>
        <v/>
      </c>
      <c r="K9" s="22">
        <f>Data!L9</f>
        <v>0</v>
      </c>
      <c r="L9" s="21" t="str">
        <f>IF(Data!N9=0,"",Data!N9)</f>
        <v/>
      </c>
      <c r="M9" s="20">
        <f>Data!O9</f>
        <v>0</v>
      </c>
      <c r="N9" s="20">
        <f>Data!P9</f>
        <v>0</v>
      </c>
      <c r="O9" s="20">
        <f>Data!Q9</f>
        <v>0</v>
      </c>
      <c r="P9" s="20">
        <f>Data!R9</f>
        <v>0</v>
      </c>
      <c r="Q9" s="20">
        <f>Data!S9</f>
        <v>0</v>
      </c>
      <c r="R9" s="20">
        <f>Data!T9</f>
        <v>0</v>
      </c>
      <c r="S9" s="20">
        <f>Data!U9</f>
        <v>0</v>
      </c>
      <c r="T9" s="20">
        <f>Data!V9</f>
        <v>0</v>
      </c>
      <c r="U9" s="20">
        <f>Data!W9</f>
        <v>0</v>
      </c>
      <c r="V9" s="20">
        <f>Data!X9</f>
        <v>0</v>
      </c>
      <c r="W9" s="20">
        <f>Data!Y9</f>
        <v>0</v>
      </c>
      <c r="X9" s="20">
        <f>Data!Z9</f>
        <v>0</v>
      </c>
      <c r="Y9" s="22">
        <f>Data!AL9</f>
        <v>0</v>
      </c>
      <c r="Z9" s="20" t="str">
        <f>Data!AC9</f>
        <v>Device power change (1=powered)</v>
      </c>
      <c r="AA9" s="20" t="str">
        <f>Data!AE9</f>
        <v/>
      </c>
      <c r="AB9" s="20">
        <f>Data!AG9</f>
        <v>0</v>
      </c>
      <c r="AC9" s="20" t="str">
        <f>CONCATENATE(Data!AI9," ",Data!AJ9)</f>
        <v xml:space="preserve">1 </v>
      </c>
    </row>
    <row r="10" spans="1:29" ht="15">
      <c r="A10" s="20" t="str">
        <f>Data!A10</f>
        <v>デモ機</v>
      </c>
      <c r="B10" s="20" t="str">
        <f>Data!C10</f>
        <v>Entire Organization</v>
      </c>
      <c r="C10" s="20" t="str">
        <f>IF(Data!E10=0,"",Data!E10)</f>
        <v/>
      </c>
      <c r="D10" s="26">
        <f t="shared" si="0"/>
        <v>42065.867129745369</v>
      </c>
      <c r="E10" s="27">
        <f>Data!F10</f>
        <v>42065.867129745369</v>
      </c>
      <c r="F10" s="20" t="str">
        <f>Data!G10</f>
        <v>EngineFaultRecord</v>
      </c>
      <c r="G10" s="20">
        <f>Data!H10</f>
        <v>0</v>
      </c>
      <c r="H10" s="20">
        <f>Data!I10</f>
        <v>0</v>
      </c>
      <c r="I10" s="20">
        <f>Data!J10</f>
        <v>0</v>
      </c>
      <c r="J10" s="21" t="str">
        <f>IF(Data!K10=0,"",Data!K10)</f>
        <v/>
      </c>
      <c r="K10" s="22">
        <f>Data!L10</f>
        <v>0</v>
      </c>
      <c r="L10" s="21" t="str">
        <f>IF(Data!N10=0,"",Data!N10)</f>
        <v/>
      </c>
      <c r="M10" s="20">
        <f>Data!O10</f>
        <v>0</v>
      </c>
      <c r="N10" s="20">
        <f>Data!P10</f>
        <v>0</v>
      </c>
      <c r="O10" s="20">
        <f>Data!Q10</f>
        <v>0</v>
      </c>
      <c r="P10" s="20">
        <f>Data!R10</f>
        <v>0</v>
      </c>
      <c r="Q10" s="20">
        <f>Data!S10</f>
        <v>0</v>
      </c>
      <c r="R10" s="20">
        <f>Data!T10</f>
        <v>0</v>
      </c>
      <c r="S10" s="20">
        <f>Data!U10</f>
        <v>0</v>
      </c>
      <c r="T10" s="20">
        <f>Data!V10</f>
        <v>0</v>
      </c>
      <c r="U10" s="20">
        <f>Data!W10</f>
        <v>0</v>
      </c>
      <c r="V10" s="20">
        <f>Data!X10</f>
        <v>0</v>
      </c>
      <c r="W10" s="20">
        <f>Data!Y10</f>
        <v>0</v>
      </c>
      <c r="X10" s="20">
        <f>Data!Z10</f>
        <v>0</v>
      </c>
      <c r="Y10" s="22">
        <f>Data!AL10</f>
        <v>0</v>
      </c>
      <c r="Z10" s="20" t="str">
        <f>Data!AC10</f>
        <v>Telematics device fault: all power removed - device restarted</v>
      </c>
      <c r="AA10" s="20" t="str">
        <f>Data!AE10</f>
        <v/>
      </c>
      <c r="AB10" s="20" t="str">
        <f>Data!AG10</f>
        <v/>
      </c>
      <c r="AC10" s="20" t="str">
        <f>CONCATENATE(Data!AI10," ",Data!AJ10)</f>
        <v xml:space="preserve"> </v>
      </c>
    </row>
    <row r="11" spans="1:29" ht="15">
      <c r="A11" s="20" t="str">
        <f>Data!A11</f>
        <v>デモ機</v>
      </c>
      <c r="B11" s="20" t="str">
        <f>Data!C11</f>
        <v>Entire Organization</v>
      </c>
      <c r="C11" s="20" t="str">
        <f>IF(Data!E11=0,"",Data!E11)</f>
        <v/>
      </c>
      <c r="D11" s="26">
        <f t="shared" si="0"/>
        <v>42065.8675693287</v>
      </c>
      <c r="E11" s="27">
        <f>Data!F11</f>
        <v>42065.8675693287</v>
      </c>
      <c r="F11" s="20" t="str">
        <f>Data!G11</f>
        <v>DebugRecord</v>
      </c>
      <c r="G11" s="20">
        <f>Data!H11</f>
        <v>0</v>
      </c>
      <c r="H11" s="20">
        <f>Data!I11</f>
        <v>0</v>
      </c>
      <c r="I11" s="20">
        <f>Data!J11</f>
        <v>0</v>
      </c>
      <c r="J11" s="21" t="str">
        <f>IF(Data!K11=0,"",Data!K11)</f>
        <v/>
      </c>
      <c r="K11" s="22">
        <f>Data!L11</f>
        <v>0</v>
      </c>
      <c r="L11" s="21" t="str">
        <f>IF(Data!N11=0,"",Data!N11)</f>
        <v>InvalidDate</v>
      </c>
      <c r="M11" s="20">
        <f>Data!O11</f>
        <v>0</v>
      </c>
      <c r="N11" s="20">
        <f>Data!P11</f>
        <v>0</v>
      </c>
      <c r="O11" s="20">
        <f>Data!Q11</f>
        <v>0</v>
      </c>
      <c r="P11" s="20">
        <f>Data!R11</f>
        <v>0</v>
      </c>
      <c r="Q11" s="20">
        <f>Data!S11</f>
        <v>0</v>
      </c>
      <c r="R11" s="20">
        <f>Data!T11</f>
        <v>0</v>
      </c>
      <c r="S11" s="20">
        <f>Data!U11</f>
        <v>0</v>
      </c>
      <c r="T11" s="20">
        <f>Data!V11</f>
        <v>0</v>
      </c>
      <c r="U11" s="20">
        <f>Data!W11</f>
        <v>0</v>
      </c>
      <c r="V11" s="20">
        <f>Data!X11</f>
        <v>0</v>
      </c>
      <c r="W11" s="20">
        <f>Data!Y11</f>
        <v>0</v>
      </c>
      <c r="X11" s="20">
        <f>Data!Z11</f>
        <v>0</v>
      </c>
      <c r="Y11" s="22" t="str">
        <f>Data!AL11</f>
        <v>7000000000CC762203000000000000</v>
      </c>
      <c r="Z11" s="20">
        <f>Data!AC11</f>
        <v>0</v>
      </c>
      <c r="AA11" s="20">
        <f>Data!AE11</f>
        <v>0</v>
      </c>
      <c r="AB11" s="20">
        <f>Data!AG11</f>
        <v>0</v>
      </c>
      <c r="AC11" s="20" t="str">
        <f>CONCATENATE(Data!AI11," ",Data!AJ11)</f>
        <v xml:space="preserve"> </v>
      </c>
    </row>
    <row r="12" spans="1:29" ht="15">
      <c r="A12" s="20" t="str">
        <f>Data!A12</f>
        <v>デモ機</v>
      </c>
      <c r="B12" s="20" t="str">
        <f>Data!C12</f>
        <v>Entire Organization</v>
      </c>
      <c r="C12" s="20" t="str">
        <f>IF(Data!E12=0,"",Data!E12)</f>
        <v/>
      </c>
      <c r="D12" s="26">
        <f t="shared" si="0"/>
        <v>42065.8675693287</v>
      </c>
      <c r="E12" s="27">
        <f>Data!F12</f>
        <v>42065.8675693287</v>
      </c>
      <c r="F12" s="20" t="str">
        <f>Data!G12</f>
        <v>DebugRecord</v>
      </c>
      <c r="G12" s="20">
        <f>Data!H12</f>
        <v>0</v>
      </c>
      <c r="H12" s="20">
        <f>Data!I12</f>
        <v>0</v>
      </c>
      <c r="I12" s="20">
        <f>Data!J12</f>
        <v>0</v>
      </c>
      <c r="J12" s="21" t="str">
        <f>IF(Data!K12=0,"",Data!K12)</f>
        <v/>
      </c>
      <c r="K12" s="22">
        <f>Data!L12</f>
        <v>0</v>
      </c>
      <c r="L12" s="21" t="str">
        <f>IF(Data!N12=0,"",Data!N12)</f>
        <v>InvalidDate</v>
      </c>
      <c r="M12" s="20">
        <f>Data!O12</f>
        <v>0</v>
      </c>
      <c r="N12" s="20">
        <f>Data!P12</f>
        <v>0</v>
      </c>
      <c r="O12" s="20">
        <f>Data!Q12</f>
        <v>0</v>
      </c>
      <c r="P12" s="20">
        <f>Data!R12</f>
        <v>0</v>
      </c>
      <c r="Q12" s="20">
        <f>Data!S12</f>
        <v>0</v>
      </c>
      <c r="R12" s="20">
        <f>Data!T12</f>
        <v>0</v>
      </c>
      <c r="S12" s="20">
        <f>Data!U12</f>
        <v>0</v>
      </c>
      <c r="T12" s="20">
        <f>Data!V12</f>
        <v>0</v>
      </c>
      <c r="U12" s="20">
        <f>Data!W12</f>
        <v>0</v>
      </c>
      <c r="V12" s="20">
        <f>Data!X12</f>
        <v>0</v>
      </c>
      <c r="W12" s="20">
        <f>Data!Y12</f>
        <v>0</v>
      </c>
      <c r="X12" s="20">
        <f>Data!Z12</f>
        <v>0</v>
      </c>
      <c r="Y12" s="22" t="str">
        <f>Data!AL12</f>
        <v>2300000000D0560101000000000000</v>
      </c>
      <c r="Z12" s="20">
        <f>Data!AC12</f>
        <v>0</v>
      </c>
      <c r="AA12" s="20">
        <f>Data!AE12</f>
        <v>0</v>
      </c>
      <c r="AB12" s="20">
        <f>Data!AG12</f>
        <v>0</v>
      </c>
      <c r="AC12" s="20" t="str">
        <f>CONCATENATE(Data!AI12," ",Data!AJ12)</f>
        <v xml:space="preserve"> </v>
      </c>
    </row>
    <row r="13" spans="1:29" ht="15">
      <c r="A13" s="20" t="str">
        <f>Data!A13</f>
        <v>デモ機</v>
      </c>
      <c r="B13" s="20" t="str">
        <f>Data!C13</f>
        <v>Entire Organization</v>
      </c>
      <c r="C13" s="20" t="str">
        <f>IF(Data!E13=0,"",Data!E13)</f>
        <v/>
      </c>
      <c r="D13" s="26">
        <f t="shared" si="0"/>
        <v>42065.8675693287</v>
      </c>
      <c r="E13" s="27">
        <f>Data!F13</f>
        <v>42065.8675693287</v>
      </c>
      <c r="F13" s="20" t="str">
        <f>Data!G13</f>
        <v>DebugRecord</v>
      </c>
      <c r="G13" s="20">
        <f>Data!H13</f>
        <v>0</v>
      </c>
      <c r="H13" s="20">
        <f>Data!I13</f>
        <v>0</v>
      </c>
      <c r="I13" s="20">
        <f>Data!J13</f>
        <v>0</v>
      </c>
      <c r="J13" s="21" t="str">
        <f>IF(Data!K13=0,"",Data!K13)</f>
        <v/>
      </c>
      <c r="K13" s="22">
        <f>Data!L13</f>
        <v>0</v>
      </c>
      <c r="L13" s="21" t="str">
        <f>IF(Data!N13=0,"",Data!N13)</f>
        <v>InvalidDate</v>
      </c>
      <c r="M13" s="20">
        <f>Data!O13</f>
        <v>0</v>
      </c>
      <c r="N13" s="20">
        <f>Data!P13</f>
        <v>0</v>
      </c>
      <c r="O13" s="20">
        <f>Data!Q13</f>
        <v>0</v>
      </c>
      <c r="P13" s="20">
        <f>Data!R13</f>
        <v>0</v>
      </c>
      <c r="Q13" s="20">
        <f>Data!S13</f>
        <v>0</v>
      </c>
      <c r="R13" s="20">
        <f>Data!T13</f>
        <v>0</v>
      </c>
      <c r="S13" s="20">
        <f>Data!U13</f>
        <v>0</v>
      </c>
      <c r="T13" s="20">
        <f>Data!V13</f>
        <v>0</v>
      </c>
      <c r="U13" s="20">
        <f>Data!W13</f>
        <v>0</v>
      </c>
      <c r="V13" s="20">
        <f>Data!X13</f>
        <v>0</v>
      </c>
      <c r="W13" s="20">
        <f>Data!Y13</f>
        <v>0</v>
      </c>
      <c r="X13" s="20">
        <f>Data!Z13</f>
        <v>0</v>
      </c>
      <c r="Y13" s="22" t="str">
        <f>Data!AL13</f>
        <v>6F000000000087C300000000000000</v>
      </c>
      <c r="Z13" s="20">
        <f>Data!AC13</f>
        <v>0</v>
      </c>
      <c r="AA13" s="20">
        <f>Data!AE13</f>
        <v>0</v>
      </c>
      <c r="AB13" s="20">
        <f>Data!AG13</f>
        <v>0</v>
      </c>
      <c r="AC13" s="20" t="str">
        <f>CONCATENATE(Data!AI13," ",Data!AJ13)</f>
        <v xml:space="preserve"> </v>
      </c>
    </row>
    <row r="14" spans="1:29" ht="15">
      <c r="A14" s="20" t="str">
        <f>Data!A14</f>
        <v>デモ機</v>
      </c>
      <c r="B14" s="20" t="str">
        <f>Data!C14</f>
        <v>Entire Organization</v>
      </c>
      <c r="C14" s="20" t="str">
        <f>IF(Data!E14=0,"",Data!E14)</f>
        <v/>
      </c>
      <c r="D14" s="26">
        <f t="shared" si="0"/>
        <v>42065.8675693287</v>
      </c>
      <c r="E14" s="27">
        <f>Data!F14</f>
        <v>42065.8675693287</v>
      </c>
      <c r="F14" s="20" t="str">
        <f>Data!G14</f>
        <v>DebugRecord</v>
      </c>
      <c r="G14" s="20">
        <f>Data!H14</f>
        <v>0</v>
      </c>
      <c r="H14" s="20">
        <f>Data!I14</f>
        <v>0</v>
      </c>
      <c r="I14" s="20">
        <f>Data!J14</f>
        <v>0</v>
      </c>
      <c r="J14" s="21" t="str">
        <f>IF(Data!K14=0,"",Data!K14)</f>
        <v/>
      </c>
      <c r="K14" s="22">
        <f>Data!L14</f>
        <v>0</v>
      </c>
      <c r="L14" s="21" t="str">
        <f>IF(Data!N14=0,"",Data!N14)</f>
        <v>InvalidDate</v>
      </c>
      <c r="M14" s="20">
        <f>Data!O14</f>
        <v>0</v>
      </c>
      <c r="N14" s="20">
        <f>Data!P14</f>
        <v>0</v>
      </c>
      <c r="O14" s="20">
        <f>Data!Q14</f>
        <v>0</v>
      </c>
      <c r="P14" s="20">
        <f>Data!R14</f>
        <v>0</v>
      </c>
      <c r="Q14" s="20">
        <f>Data!S14</f>
        <v>0</v>
      </c>
      <c r="R14" s="20">
        <f>Data!T14</f>
        <v>0</v>
      </c>
      <c r="S14" s="20">
        <f>Data!U14</f>
        <v>0</v>
      </c>
      <c r="T14" s="20">
        <f>Data!V14</f>
        <v>0</v>
      </c>
      <c r="U14" s="20">
        <f>Data!W14</f>
        <v>0</v>
      </c>
      <c r="V14" s="20">
        <f>Data!X14</f>
        <v>0</v>
      </c>
      <c r="W14" s="20">
        <f>Data!Y14</f>
        <v>0</v>
      </c>
      <c r="X14" s="20">
        <f>Data!Z14</f>
        <v>0</v>
      </c>
      <c r="Y14" s="22" t="str">
        <f>Data!AL14</f>
        <v>6F000000000033EB004E004E000000</v>
      </c>
      <c r="Z14" s="20">
        <f>Data!AC14</f>
        <v>0</v>
      </c>
      <c r="AA14" s="20">
        <f>Data!AE14</f>
        <v>0</v>
      </c>
      <c r="AB14" s="20">
        <f>Data!AG14</f>
        <v>0</v>
      </c>
      <c r="AC14" s="20" t="str">
        <f>CONCATENATE(Data!AI14," ",Data!AJ14)</f>
        <v xml:space="preserve"> </v>
      </c>
    </row>
    <row r="15" spans="1:29" ht="15">
      <c r="A15" s="20" t="str">
        <f>Data!A15</f>
        <v>デモ機</v>
      </c>
      <c r="B15" s="20" t="str">
        <f>Data!C15</f>
        <v>Entire Organization</v>
      </c>
      <c r="C15" s="20" t="str">
        <f>IF(Data!E15=0,"",Data!E15)</f>
        <v/>
      </c>
      <c r="D15" s="26">
        <f t="shared" si="0"/>
        <v>42065.867580706021</v>
      </c>
      <c r="E15" s="27">
        <f>Data!F15</f>
        <v>42065.867580706021</v>
      </c>
      <c r="F15" s="20" t="str">
        <f>Data!G15</f>
        <v>DebugRecord</v>
      </c>
      <c r="G15" s="20">
        <f>Data!H15</f>
        <v>0</v>
      </c>
      <c r="H15" s="20">
        <f>Data!I15</f>
        <v>0</v>
      </c>
      <c r="I15" s="20">
        <f>Data!J15</f>
        <v>0</v>
      </c>
      <c r="J15" s="21" t="str">
        <f>IF(Data!K15=0,"",Data!K15)</f>
        <v/>
      </c>
      <c r="K15" s="22">
        <f>Data!L15</f>
        <v>0</v>
      </c>
      <c r="L15" s="21" t="str">
        <f>IF(Data!N15=0,"",Data!N15)</f>
        <v>InvalidDate</v>
      </c>
      <c r="M15" s="20">
        <f>Data!O15</f>
        <v>0</v>
      </c>
      <c r="N15" s="20">
        <f>Data!P15</f>
        <v>0</v>
      </c>
      <c r="O15" s="20">
        <f>Data!Q15</f>
        <v>0</v>
      </c>
      <c r="P15" s="20">
        <f>Data!R15</f>
        <v>0</v>
      </c>
      <c r="Q15" s="20">
        <f>Data!S15</f>
        <v>0</v>
      </c>
      <c r="R15" s="20">
        <f>Data!T15</f>
        <v>0</v>
      </c>
      <c r="S15" s="20">
        <f>Data!U15</f>
        <v>0</v>
      </c>
      <c r="T15" s="20">
        <f>Data!V15</f>
        <v>0</v>
      </c>
      <c r="U15" s="20">
        <f>Data!W15</f>
        <v>0</v>
      </c>
      <c r="V15" s="20">
        <f>Data!X15</f>
        <v>0</v>
      </c>
      <c r="W15" s="20">
        <f>Data!Y15</f>
        <v>0</v>
      </c>
      <c r="X15" s="20">
        <f>Data!Z15</f>
        <v>0</v>
      </c>
      <c r="Y15" s="22" t="str">
        <f>Data!AL15</f>
        <v>6F0D0000000549EBDF0703020B3003</v>
      </c>
      <c r="Z15" s="20">
        <f>Data!AC15</f>
        <v>0</v>
      </c>
      <c r="AA15" s="20">
        <f>Data!AE15</f>
        <v>0</v>
      </c>
      <c r="AB15" s="20">
        <f>Data!AG15</f>
        <v>0</v>
      </c>
      <c r="AC15" s="20" t="str">
        <f>CONCATENATE(Data!AI15," ",Data!AJ15)</f>
        <v xml:space="preserve"> </v>
      </c>
    </row>
    <row r="16" spans="1:29" ht="15">
      <c r="A16" s="20" t="str">
        <f>Data!A16</f>
        <v>デモ機</v>
      </c>
      <c r="B16" s="20" t="str">
        <f>Data!C16</f>
        <v>Entire Organization</v>
      </c>
      <c r="C16" s="20" t="str">
        <f>IF(Data!E16=0,"",Data!E16)</f>
        <v/>
      </c>
      <c r="D16" s="26">
        <f t="shared" si="0"/>
        <v>42065.867580706021</v>
      </c>
      <c r="E16" s="27">
        <f>Data!F16</f>
        <v>42065.867580706021</v>
      </c>
      <c r="F16" s="20" t="str">
        <f>Data!G16</f>
        <v>DebugRecord</v>
      </c>
      <c r="G16" s="20">
        <f>Data!H16</f>
        <v>0</v>
      </c>
      <c r="H16" s="20">
        <f>Data!I16</f>
        <v>0</v>
      </c>
      <c r="I16" s="20">
        <f>Data!J16</f>
        <v>0</v>
      </c>
      <c r="J16" s="21" t="str">
        <f>IF(Data!K16=0,"",Data!K16)</f>
        <v/>
      </c>
      <c r="K16" s="22">
        <f>Data!L16</f>
        <v>0</v>
      </c>
      <c r="L16" s="21" t="str">
        <f>IF(Data!N16=0,"",Data!N16)</f>
        <v>InvalidDate</v>
      </c>
      <c r="M16" s="20">
        <f>Data!O16</f>
        <v>0</v>
      </c>
      <c r="N16" s="20">
        <f>Data!P16</f>
        <v>0</v>
      </c>
      <c r="O16" s="20">
        <f>Data!Q16</f>
        <v>0</v>
      </c>
      <c r="P16" s="20">
        <f>Data!R16</f>
        <v>0</v>
      </c>
      <c r="Q16" s="20">
        <f>Data!S16</f>
        <v>0</v>
      </c>
      <c r="R16" s="20">
        <f>Data!T16</f>
        <v>0</v>
      </c>
      <c r="S16" s="20">
        <f>Data!U16</f>
        <v>0</v>
      </c>
      <c r="T16" s="20">
        <f>Data!V16</f>
        <v>0</v>
      </c>
      <c r="U16" s="20">
        <f>Data!W16</f>
        <v>0</v>
      </c>
      <c r="V16" s="20">
        <f>Data!X16</f>
        <v>0</v>
      </c>
      <c r="W16" s="20">
        <f>Data!Y16</f>
        <v>0</v>
      </c>
      <c r="X16" s="20">
        <f>Data!Z16</f>
        <v>0</v>
      </c>
      <c r="Y16" s="22" t="str">
        <f>Data!AL16</f>
        <v>230A000000B3530100000000000000</v>
      </c>
      <c r="Z16" s="20">
        <f>Data!AC16</f>
        <v>0</v>
      </c>
      <c r="AA16" s="20">
        <f>Data!AE16</f>
        <v>0</v>
      </c>
      <c r="AB16" s="20">
        <f>Data!AG16</f>
        <v>0</v>
      </c>
      <c r="AC16" s="20" t="str">
        <f>CONCATENATE(Data!AI16," ",Data!AJ16)</f>
        <v xml:space="preserve"> </v>
      </c>
    </row>
    <row r="17" spans="1:29" ht="15">
      <c r="A17" s="20" t="str">
        <f>Data!A17</f>
        <v>デモ機</v>
      </c>
      <c r="B17" s="20" t="str">
        <f>Data!C17</f>
        <v>Entire Organization</v>
      </c>
      <c r="C17" s="20" t="str">
        <f>IF(Data!E17=0,"",Data!E17)</f>
        <v/>
      </c>
      <c r="D17" s="26">
        <f t="shared" si="0"/>
        <v>42065.867580706021</v>
      </c>
      <c r="E17" s="27">
        <f>Data!F17</f>
        <v>42065.867580706021</v>
      </c>
      <c r="F17" s="20" t="str">
        <f>Data!G17</f>
        <v>DebugRecord</v>
      </c>
      <c r="G17" s="20">
        <f>Data!H17</f>
        <v>0</v>
      </c>
      <c r="H17" s="20">
        <f>Data!I17</f>
        <v>0</v>
      </c>
      <c r="I17" s="20">
        <f>Data!J17</f>
        <v>0</v>
      </c>
      <c r="J17" s="21" t="str">
        <f>IF(Data!K17=0,"",Data!K17)</f>
        <v/>
      </c>
      <c r="K17" s="22">
        <f>Data!L17</f>
        <v>0</v>
      </c>
      <c r="L17" s="21" t="str">
        <f>IF(Data!N17=0,"",Data!N17)</f>
        <v>UnknownData</v>
      </c>
      <c r="M17" s="20">
        <f>Data!O17</f>
        <v>0</v>
      </c>
      <c r="N17" s="20">
        <f>Data!P17</f>
        <v>0</v>
      </c>
      <c r="O17" s="20">
        <f>Data!Q17</f>
        <v>0</v>
      </c>
      <c r="P17" s="20">
        <f>Data!R17</f>
        <v>0</v>
      </c>
      <c r="Q17" s="20">
        <f>Data!S17</f>
        <v>0</v>
      </c>
      <c r="R17" s="20">
        <f>Data!T17</f>
        <v>0</v>
      </c>
      <c r="S17" s="20">
        <f>Data!U17</f>
        <v>0</v>
      </c>
      <c r="T17" s="20">
        <f>Data!V17</f>
        <v>0</v>
      </c>
      <c r="U17" s="20">
        <f>Data!W17</f>
        <v>0</v>
      </c>
      <c r="V17" s="20">
        <f>Data!X17</f>
        <v>0</v>
      </c>
      <c r="W17" s="20">
        <f>Data!Y17</f>
        <v>0</v>
      </c>
      <c r="X17" s="20">
        <f>Data!Z17</f>
        <v>0</v>
      </c>
      <c r="Y17" s="22" t="str">
        <f>Data!AL17</f>
        <v>12012114002097AF07FFFFFFFF0000</v>
      </c>
      <c r="Z17" s="20">
        <f>Data!AC17</f>
        <v>0</v>
      </c>
      <c r="AA17" s="20">
        <f>Data!AE17</f>
        <v>0</v>
      </c>
      <c r="AB17" s="20">
        <f>Data!AG17</f>
        <v>0</v>
      </c>
      <c r="AC17" s="20" t="str">
        <f>CONCATENATE(Data!AI17," ",Data!AJ17)</f>
        <v xml:space="preserve"> </v>
      </c>
    </row>
    <row r="18" spans="1:29" ht="15">
      <c r="A18" s="20" t="str">
        <f>Data!A18</f>
        <v>デモ機</v>
      </c>
      <c r="B18" s="20" t="str">
        <f>Data!C18</f>
        <v>Entire Organization</v>
      </c>
      <c r="C18" s="20" t="str">
        <f>IF(Data!E18=0,"",Data!E18)</f>
        <v/>
      </c>
      <c r="D18" s="26">
        <f t="shared" si="0"/>
        <v>42065.867580706021</v>
      </c>
      <c r="E18" s="27">
        <f>Data!F18</f>
        <v>42065.867580706021</v>
      </c>
      <c r="F18" s="20" t="str">
        <f>Data!G18</f>
        <v>DebugRecord</v>
      </c>
      <c r="G18" s="20">
        <f>Data!H18</f>
        <v>0</v>
      </c>
      <c r="H18" s="20">
        <f>Data!I18</f>
        <v>0</v>
      </c>
      <c r="I18" s="20">
        <f>Data!J18</f>
        <v>0</v>
      </c>
      <c r="J18" s="21" t="str">
        <f>IF(Data!K18=0,"",Data!K18)</f>
        <v/>
      </c>
      <c r="K18" s="22">
        <f>Data!L18</f>
        <v>0</v>
      </c>
      <c r="L18" s="21" t="str">
        <f>IF(Data!N18=0,"",Data!N18)</f>
        <v>InvalidDate</v>
      </c>
      <c r="M18" s="20">
        <f>Data!O18</f>
        <v>0</v>
      </c>
      <c r="N18" s="20">
        <f>Data!P18</f>
        <v>0</v>
      </c>
      <c r="O18" s="20">
        <f>Data!Q18</f>
        <v>0</v>
      </c>
      <c r="P18" s="20">
        <f>Data!R18</f>
        <v>0</v>
      </c>
      <c r="Q18" s="20">
        <f>Data!S18</f>
        <v>0</v>
      </c>
      <c r="R18" s="20">
        <f>Data!T18</f>
        <v>0</v>
      </c>
      <c r="S18" s="20">
        <f>Data!U18</f>
        <v>0</v>
      </c>
      <c r="T18" s="20">
        <f>Data!V18</f>
        <v>0</v>
      </c>
      <c r="U18" s="20">
        <f>Data!W18</f>
        <v>0</v>
      </c>
      <c r="V18" s="20">
        <f>Data!X18</f>
        <v>0</v>
      </c>
      <c r="W18" s="20">
        <f>Data!Y18</f>
        <v>0</v>
      </c>
      <c r="X18" s="20">
        <f>Data!Z18</f>
        <v>0</v>
      </c>
      <c r="Y18" s="22" t="str">
        <f>Data!AL18</f>
        <v>700A00000003970000000000000000</v>
      </c>
      <c r="Z18" s="20">
        <f>Data!AC18</f>
        <v>0</v>
      </c>
      <c r="AA18" s="20">
        <f>Data!AE18</f>
        <v>0</v>
      </c>
      <c r="AB18" s="20">
        <f>Data!AG18</f>
        <v>0</v>
      </c>
      <c r="AC18" s="20" t="str">
        <f>CONCATENATE(Data!AI18," ",Data!AJ18)</f>
        <v xml:space="preserve"> </v>
      </c>
    </row>
    <row r="19" spans="1:29" ht="15">
      <c r="A19" s="20" t="str">
        <f>Data!A19</f>
        <v>デモ機</v>
      </c>
      <c r="B19" s="20" t="str">
        <f>Data!C19</f>
        <v>Entire Organization</v>
      </c>
      <c r="C19" s="20" t="str">
        <f>IF(Data!E19=0,"",Data!E19)</f>
        <v/>
      </c>
      <c r="D19" s="26">
        <f t="shared" si="0"/>
        <v>42065.867580706021</v>
      </c>
      <c r="E19" s="27">
        <f>Data!F19</f>
        <v>42065.867580706021</v>
      </c>
      <c r="F19" s="20" t="str">
        <f>Data!G19</f>
        <v>DebugRecord</v>
      </c>
      <c r="G19" s="20">
        <f>Data!H19</f>
        <v>0</v>
      </c>
      <c r="H19" s="20">
        <f>Data!I19</f>
        <v>0</v>
      </c>
      <c r="I19" s="20">
        <f>Data!J19</f>
        <v>0</v>
      </c>
      <c r="J19" s="21" t="str">
        <f>IF(Data!K19=0,"",Data!K19)</f>
        <v/>
      </c>
      <c r="K19" s="22">
        <f>Data!L19</f>
        <v>0</v>
      </c>
      <c r="L19" s="21" t="str">
        <f>IF(Data!N19=0,"",Data!N19)</f>
        <v>InvalidDate</v>
      </c>
      <c r="M19" s="20">
        <f>Data!O19</f>
        <v>0</v>
      </c>
      <c r="N19" s="20">
        <f>Data!P19</f>
        <v>0</v>
      </c>
      <c r="O19" s="20">
        <f>Data!Q19</f>
        <v>0</v>
      </c>
      <c r="P19" s="20">
        <f>Data!R19</f>
        <v>0</v>
      </c>
      <c r="Q19" s="20">
        <f>Data!S19</f>
        <v>0</v>
      </c>
      <c r="R19" s="20">
        <f>Data!T19</f>
        <v>0</v>
      </c>
      <c r="S19" s="20">
        <f>Data!U19</f>
        <v>0</v>
      </c>
      <c r="T19" s="20">
        <f>Data!V19</f>
        <v>0</v>
      </c>
      <c r="U19" s="20">
        <f>Data!W19</f>
        <v>0</v>
      </c>
      <c r="V19" s="20">
        <f>Data!X19</f>
        <v>0</v>
      </c>
      <c r="W19" s="20">
        <f>Data!Y19</f>
        <v>0</v>
      </c>
      <c r="X19" s="20">
        <f>Data!Z19</f>
        <v>0</v>
      </c>
      <c r="Y19" s="22" t="str">
        <f>Data!AL19</f>
        <v>70060000005B150000000000000000</v>
      </c>
      <c r="Z19" s="20">
        <f>Data!AC19</f>
        <v>0</v>
      </c>
      <c r="AA19" s="20">
        <f>Data!AE19</f>
        <v>0</v>
      </c>
      <c r="AB19" s="20">
        <f>Data!AG19</f>
        <v>0</v>
      </c>
      <c r="AC19" s="20" t="str">
        <f>CONCATENATE(Data!AI19," ",Data!AJ19)</f>
        <v xml:space="preserve"> </v>
      </c>
    </row>
    <row r="20" spans="1:29" ht="15">
      <c r="A20" s="20" t="str">
        <f>Data!A20</f>
        <v>デモ機</v>
      </c>
      <c r="B20" s="20" t="str">
        <f>Data!C20</f>
        <v>Entire Organization</v>
      </c>
      <c r="C20" s="20" t="str">
        <f>IF(Data!E20=0,"",Data!E20)</f>
        <v/>
      </c>
      <c r="D20" s="26">
        <f t="shared" si="0"/>
        <v>42065.867580706021</v>
      </c>
      <c r="E20" s="27">
        <f>Data!F20</f>
        <v>42065.867580706021</v>
      </c>
      <c r="F20" s="20" t="str">
        <f>Data!G20</f>
        <v>DebugRecord</v>
      </c>
      <c r="G20" s="20">
        <f>Data!H20</f>
        <v>0</v>
      </c>
      <c r="H20" s="20">
        <f>Data!I20</f>
        <v>0</v>
      </c>
      <c r="I20" s="20">
        <f>Data!J20</f>
        <v>0</v>
      </c>
      <c r="J20" s="21" t="str">
        <f>IF(Data!K20=0,"",Data!K20)</f>
        <v/>
      </c>
      <c r="K20" s="22">
        <f>Data!L20</f>
        <v>0</v>
      </c>
      <c r="L20" s="21" t="str">
        <f>IF(Data!N20=0,"",Data!N20)</f>
        <v>InvalidDate</v>
      </c>
      <c r="M20" s="20">
        <f>Data!O20</f>
        <v>0</v>
      </c>
      <c r="N20" s="20">
        <f>Data!P20</f>
        <v>0</v>
      </c>
      <c r="O20" s="20">
        <f>Data!Q20</f>
        <v>0</v>
      </c>
      <c r="P20" s="20">
        <f>Data!R20</f>
        <v>0</v>
      </c>
      <c r="Q20" s="20">
        <f>Data!S20</f>
        <v>0</v>
      </c>
      <c r="R20" s="20">
        <f>Data!T20</f>
        <v>0</v>
      </c>
      <c r="S20" s="20">
        <f>Data!U20</f>
        <v>0</v>
      </c>
      <c r="T20" s="20">
        <f>Data!V20</f>
        <v>0</v>
      </c>
      <c r="U20" s="20">
        <f>Data!W20</f>
        <v>0</v>
      </c>
      <c r="V20" s="20">
        <f>Data!X20</f>
        <v>0</v>
      </c>
      <c r="W20" s="20">
        <f>Data!Y20</f>
        <v>0</v>
      </c>
      <c r="X20" s="20">
        <f>Data!Z20</f>
        <v>0</v>
      </c>
      <c r="Y20" s="22" t="str">
        <f>Data!AL20</f>
        <v>700300000000540300000000000000</v>
      </c>
      <c r="Z20" s="20">
        <f>Data!AC20</f>
        <v>0</v>
      </c>
      <c r="AA20" s="20">
        <f>Data!AE20</f>
        <v>0</v>
      </c>
      <c r="AB20" s="20">
        <f>Data!AG20</f>
        <v>0</v>
      </c>
      <c r="AC20" s="20" t="str">
        <f>CONCATENATE(Data!AI20," ",Data!AJ20)</f>
        <v xml:space="preserve"> </v>
      </c>
    </row>
    <row r="21" spans="1:29" ht="15">
      <c r="A21" s="20" t="str">
        <f>Data!A21</f>
        <v>デモ機</v>
      </c>
      <c r="B21" s="20" t="str">
        <f>Data!C21</f>
        <v>Entire Organization</v>
      </c>
      <c r="C21" s="20" t="str">
        <f>IF(Data!E21=0,"",Data!E21)</f>
        <v/>
      </c>
      <c r="D21" s="26">
        <f t="shared" si="0"/>
        <v>42065.867580706021</v>
      </c>
      <c r="E21" s="27">
        <f>Data!F21</f>
        <v>42065.867580706021</v>
      </c>
      <c r="F21" s="20" t="str">
        <f>Data!G21</f>
        <v>DebugRecord</v>
      </c>
      <c r="G21" s="20">
        <f>Data!H21</f>
        <v>0</v>
      </c>
      <c r="H21" s="20">
        <f>Data!I21</f>
        <v>0</v>
      </c>
      <c r="I21" s="20">
        <f>Data!J21</f>
        <v>0</v>
      </c>
      <c r="J21" s="21" t="str">
        <f>IF(Data!K21=0,"",Data!K21)</f>
        <v/>
      </c>
      <c r="K21" s="22">
        <f>Data!L21</f>
        <v>0</v>
      </c>
      <c r="L21" s="21" t="str">
        <f>IF(Data!N21=0,"",Data!N21)</f>
        <v>InvalidDate</v>
      </c>
      <c r="M21" s="20">
        <f>Data!O21</f>
        <v>0</v>
      </c>
      <c r="N21" s="20">
        <f>Data!P21</f>
        <v>0</v>
      </c>
      <c r="O21" s="20">
        <f>Data!Q21</f>
        <v>0</v>
      </c>
      <c r="P21" s="20">
        <f>Data!R21</f>
        <v>0</v>
      </c>
      <c r="Q21" s="20">
        <f>Data!S21</f>
        <v>0</v>
      </c>
      <c r="R21" s="20">
        <f>Data!T21</f>
        <v>0</v>
      </c>
      <c r="S21" s="20">
        <f>Data!U21</f>
        <v>0</v>
      </c>
      <c r="T21" s="20">
        <f>Data!V21</f>
        <v>0</v>
      </c>
      <c r="U21" s="20">
        <f>Data!W21</f>
        <v>0</v>
      </c>
      <c r="V21" s="20">
        <f>Data!X21</f>
        <v>0</v>
      </c>
      <c r="W21" s="20">
        <f>Data!Y21</f>
        <v>0</v>
      </c>
      <c r="X21" s="20">
        <f>Data!Z21</f>
        <v>0</v>
      </c>
      <c r="Y21" s="22" t="str">
        <f>Data!AL21</f>
        <v>2D02000000001F0001010000000000</v>
      </c>
      <c r="Z21" s="20">
        <f>Data!AC21</f>
        <v>0</v>
      </c>
      <c r="AA21" s="20">
        <f>Data!AE21</f>
        <v>0</v>
      </c>
      <c r="AB21" s="20">
        <f>Data!AG21</f>
        <v>0</v>
      </c>
      <c r="AC21" s="20" t="str">
        <f>CONCATENATE(Data!AI21," ",Data!AJ21)</f>
        <v xml:space="preserve"> </v>
      </c>
    </row>
    <row r="22" spans="1:29" ht="15">
      <c r="A22" s="20" t="str">
        <f>Data!A22</f>
        <v>デモ機</v>
      </c>
      <c r="B22" s="20" t="str">
        <f>Data!C22</f>
        <v>Entire Organization</v>
      </c>
      <c r="C22" s="20" t="str">
        <f>IF(Data!E22=0,"",Data!E22)</f>
        <v/>
      </c>
      <c r="D22" s="26">
        <f t="shared" si="0"/>
        <v>42065.867580706021</v>
      </c>
      <c r="E22" s="27">
        <f>Data!F22</f>
        <v>42065.867580706021</v>
      </c>
      <c r="F22" s="20" t="str">
        <f>Data!G22</f>
        <v>DebugRecord</v>
      </c>
      <c r="G22" s="20">
        <f>Data!H22</f>
        <v>0</v>
      </c>
      <c r="H22" s="20">
        <f>Data!I22</f>
        <v>0</v>
      </c>
      <c r="I22" s="20">
        <f>Data!J22</f>
        <v>0</v>
      </c>
      <c r="J22" s="21" t="str">
        <f>IF(Data!K22=0,"",Data!K22)</f>
        <v/>
      </c>
      <c r="K22" s="22">
        <f>Data!L22</f>
        <v>0</v>
      </c>
      <c r="L22" s="21" t="str">
        <f>IF(Data!N22=0,"",Data!N22)</f>
        <v>UnknownData</v>
      </c>
      <c r="M22" s="20">
        <f>Data!O22</f>
        <v>0</v>
      </c>
      <c r="N22" s="20">
        <f>Data!P22</f>
        <v>0</v>
      </c>
      <c r="O22" s="20">
        <f>Data!Q22</f>
        <v>0</v>
      </c>
      <c r="P22" s="20">
        <f>Data!R22</f>
        <v>0</v>
      </c>
      <c r="Q22" s="20">
        <f>Data!S22</f>
        <v>0</v>
      </c>
      <c r="R22" s="20">
        <f>Data!T22</f>
        <v>0</v>
      </c>
      <c r="S22" s="20">
        <f>Data!U22</f>
        <v>0</v>
      </c>
      <c r="T22" s="20">
        <f>Data!V22</f>
        <v>0</v>
      </c>
      <c r="U22" s="20">
        <f>Data!W22</f>
        <v>0</v>
      </c>
      <c r="V22" s="20">
        <f>Data!X22</f>
        <v>0</v>
      </c>
      <c r="W22" s="20">
        <f>Data!Y22</f>
        <v>0</v>
      </c>
      <c r="X22" s="20">
        <f>Data!Z22</f>
        <v>0</v>
      </c>
      <c r="Y22" s="22" t="str">
        <f>Data!AL22</f>
        <v>130000DF0703020B30350300000000</v>
      </c>
      <c r="Z22" s="20">
        <f>Data!AC22</f>
        <v>0</v>
      </c>
      <c r="AA22" s="20">
        <f>Data!AE22</f>
        <v>0</v>
      </c>
      <c r="AB22" s="20">
        <f>Data!AG22</f>
        <v>0</v>
      </c>
      <c r="AC22" s="20" t="str">
        <f>CONCATENATE(Data!AI22," ",Data!AJ22)</f>
        <v xml:space="preserve"> </v>
      </c>
    </row>
    <row r="23" spans="1:29" ht="15">
      <c r="A23" s="20" t="str">
        <f>Data!A23</f>
        <v>デモ機</v>
      </c>
      <c r="B23" s="20" t="str">
        <f>Data!C23</f>
        <v>Entire Organization</v>
      </c>
      <c r="C23" s="20" t="str">
        <f>IF(Data!E23=0,"",Data!E23)</f>
        <v/>
      </c>
      <c r="D23" s="26">
        <f t="shared" si="0"/>
        <v>42065.867580706021</v>
      </c>
      <c r="E23" s="27">
        <f>Data!F23</f>
        <v>42065.867580706021</v>
      </c>
      <c r="F23" s="20" t="str">
        <f>Data!G23</f>
        <v>DebugRecord</v>
      </c>
      <c r="G23" s="20">
        <f>Data!H23</f>
        <v>0</v>
      </c>
      <c r="H23" s="20">
        <f>Data!I23</f>
        <v>0</v>
      </c>
      <c r="I23" s="20">
        <f>Data!J23</f>
        <v>0</v>
      </c>
      <c r="J23" s="21" t="str">
        <f>IF(Data!K23=0,"",Data!K23)</f>
        <v/>
      </c>
      <c r="K23" s="22">
        <f>Data!L23</f>
        <v>0</v>
      </c>
      <c r="L23" s="21" t="str">
        <f>IF(Data!N23=0,"",Data!N23)</f>
        <v>InvalidDate</v>
      </c>
      <c r="M23" s="20">
        <f>Data!O23</f>
        <v>0</v>
      </c>
      <c r="N23" s="20">
        <f>Data!P23</f>
        <v>0</v>
      </c>
      <c r="O23" s="20">
        <f>Data!Q23</f>
        <v>0</v>
      </c>
      <c r="P23" s="20">
        <f>Data!R23</f>
        <v>0</v>
      </c>
      <c r="Q23" s="20">
        <f>Data!S23</f>
        <v>0</v>
      </c>
      <c r="R23" s="20">
        <f>Data!T23</f>
        <v>0</v>
      </c>
      <c r="S23" s="20">
        <f>Data!U23</f>
        <v>0</v>
      </c>
      <c r="T23" s="20">
        <f>Data!V23</f>
        <v>0</v>
      </c>
      <c r="U23" s="20">
        <f>Data!W23</f>
        <v>0</v>
      </c>
      <c r="V23" s="20">
        <f>Data!X23</f>
        <v>0</v>
      </c>
      <c r="W23" s="20">
        <f>Data!Y23</f>
        <v>0</v>
      </c>
      <c r="X23" s="20">
        <f>Data!Z23</f>
        <v>0</v>
      </c>
      <c r="Y23" s="22" t="str">
        <f>Data!AL23</f>
        <v>6F0D0000000585C3FD75FD75000000</v>
      </c>
      <c r="Z23" s="20">
        <f>Data!AC23</f>
        <v>0</v>
      </c>
      <c r="AA23" s="20">
        <f>Data!AE23</f>
        <v>0</v>
      </c>
      <c r="AB23" s="20">
        <f>Data!AG23</f>
        <v>0</v>
      </c>
      <c r="AC23" s="20" t="str">
        <f>CONCATENATE(Data!AI23," ",Data!AJ23)</f>
        <v xml:space="preserve"> </v>
      </c>
    </row>
    <row r="24" spans="1:29" ht="15">
      <c r="A24" s="20" t="str">
        <f>Data!A24</f>
        <v>デモ機</v>
      </c>
      <c r="B24" s="20" t="str">
        <f>Data!C24</f>
        <v>Entire Organization</v>
      </c>
      <c r="C24" s="20" t="str">
        <f>IF(Data!E24=0,"",Data!E24)</f>
        <v/>
      </c>
      <c r="D24" s="26">
        <f t="shared" si="0"/>
        <v>42065.867580706021</v>
      </c>
      <c r="E24" s="27">
        <f>Data!F24</f>
        <v>42065.867580706021</v>
      </c>
      <c r="F24" s="20" t="str">
        <f>Data!G24</f>
        <v>DebugRecord</v>
      </c>
      <c r="G24" s="20">
        <f>Data!H24</f>
        <v>0</v>
      </c>
      <c r="H24" s="20">
        <f>Data!I24</f>
        <v>0</v>
      </c>
      <c r="I24" s="20">
        <f>Data!J24</f>
        <v>0</v>
      </c>
      <c r="J24" s="21" t="str">
        <f>IF(Data!K24=0,"",Data!K24)</f>
        <v/>
      </c>
      <c r="K24" s="22">
        <f>Data!L24</f>
        <v>0</v>
      </c>
      <c r="L24" s="21" t="str">
        <f>IF(Data!N24=0,"",Data!N24)</f>
        <v>InvalidDate</v>
      </c>
      <c r="M24" s="20">
        <f>Data!O24</f>
        <v>0</v>
      </c>
      <c r="N24" s="20">
        <f>Data!P24</f>
        <v>0</v>
      </c>
      <c r="O24" s="20">
        <f>Data!Q24</f>
        <v>0</v>
      </c>
      <c r="P24" s="20">
        <f>Data!R24</f>
        <v>0</v>
      </c>
      <c r="Q24" s="20">
        <f>Data!S24</f>
        <v>0</v>
      </c>
      <c r="R24" s="20">
        <f>Data!T24</f>
        <v>0</v>
      </c>
      <c r="S24" s="20">
        <f>Data!U24</f>
        <v>0</v>
      </c>
      <c r="T24" s="20">
        <f>Data!V24</f>
        <v>0</v>
      </c>
      <c r="U24" s="20">
        <f>Data!W24</f>
        <v>0</v>
      </c>
      <c r="V24" s="20">
        <f>Data!X24</f>
        <v>0</v>
      </c>
      <c r="W24" s="20">
        <f>Data!Y24</f>
        <v>0</v>
      </c>
      <c r="X24" s="20">
        <f>Data!Z24</f>
        <v>0</v>
      </c>
      <c r="Y24" s="22" t="str">
        <f>Data!AL24</f>
        <v>700C00000085350100010024001000</v>
      </c>
      <c r="Z24" s="20">
        <f>Data!AC24</f>
        <v>0</v>
      </c>
      <c r="AA24" s="20">
        <f>Data!AE24</f>
        <v>0</v>
      </c>
      <c r="AB24" s="20">
        <f>Data!AG24</f>
        <v>0</v>
      </c>
      <c r="AC24" s="20" t="str">
        <f>CONCATENATE(Data!AI24," ",Data!AJ24)</f>
        <v xml:space="preserve"> </v>
      </c>
    </row>
    <row r="25" spans="1:29" ht="15">
      <c r="A25" s="20" t="str">
        <f>Data!A25</f>
        <v>デモ機</v>
      </c>
      <c r="B25" s="20" t="str">
        <f>Data!C25</f>
        <v>Entire Organization</v>
      </c>
      <c r="C25" s="20" t="str">
        <f>IF(Data!E25=0,"",Data!E25)</f>
        <v/>
      </c>
      <c r="D25" s="26">
        <f t="shared" si="0"/>
        <v>42065.867580706021</v>
      </c>
      <c r="E25" s="27">
        <f>Data!F25</f>
        <v>42065.867580706021</v>
      </c>
      <c r="F25" s="20" t="str">
        <f>Data!G25</f>
        <v>DebugRecord</v>
      </c>
      <c r="G25" s="20">
        <f>Data!H25</f>
        <v>0</v>
      </c>
      <c r="H25" s="20">
        <f>Data!I25</f>
        <v>0</v>
      </c>
      <c r="I25" s="20">
        <f>Data!J25</f>
        <v>0</v>
      </c>
      <c r="J25" s="21" t="str">
        <f>IF(Data!K25=0,"",Data!K25)</f>
        <v/>
      </c>
      <c r="K25" s="22">
        <f>Data!L25</f>
        <v>0</v>
      </c>
      <c r="L25" s="21" t="str">
        <f>IF(Data!N25=0,"",Data!N25)</f>
        <v>InvalidDate</v>
      </c>
      <c r="M25" s="20">
        <f>Data!O25</f>
        <v>0</v>
      </c>
      <c r="N25" s="20">
        <f>Data!P25</f>
        <v>0</v>
      </c>
      <c r="O25" s="20">
        <f>Data!Q25</f>
        <v>0</v>
      </c>
      <c r="P25" s="20">
        <f>Data!R25</f>
        <v>0</v>
      </c>
      <c r="Q25" s="20">
        <f>Data!S25</f>
        <v>0</v>
      </c>
      <c r="R25" s="20">
        <f>Data!T25</f>
        <v>0</v>
      </c>
      <c r="S25" s="20">
        <f>Data!U25</f>
        <v>0</v>
      </c>
      <c r="T25" s="20">
        <f>Data!V25</f>
        <v>0</v>
      </c>
      <c r="U25" s="20">
        <f>Data!W25</f>
        <v>0</v>
      </c>
      <c r="V25" s="20">
        <f>Data!X25</f>
        <v>0</v>
      </c>
      <c r="W25" s="20">
        <f>Data!Y25</f>
        <v>0</v>
      </c>
      <c r="X25" s="20">
        <f>Data!Z25</f>
        <v>0</v>
      </c>
      <c r="Y25" s="22" t="str">
        <f>Data!AL25</f>
        <v>700A00000006540F00000000000000</v>
      </c>
      <c r="Z25" s="20">
        <f>Data!AC25</f>
        <v>0</v>
      </c>
      <c r="AA25" s="20">
        <f>Data!AE25</f>
        <v>0</v>
      </c>
      <c r="AB25" s="20">
        <f>Data!AG25</f>
        <v>0</v>
      </c>
      <c r="AC25" s="20" t="str">
        <f>CONCATENATE(Data!AI25," ",Data!AJ25)</f>
        <v xml:space="preserve"> </v>
      </c>
    </row>
    <row r="26" spans="1:29" ht="15">
      <c r="A26" s="20" t="str">
        <f>Data!A26</f>
        <v>デモ機</v>
      </c>
      <c r="B26" s="20" t="str">
        <f>Data!C26</f>
        <v>Entire Organization</v>
      </c>
      <c r="C26" s="20" t="str">
        <f>IF(Data!E26=0,"",Data!E26)</f>
        <v/>
      </c>
      <c r="D26" s="26">
        <f t="shared" si="0"/>
        <v>42065.867580706021</v>
      </c>
      <c r="E26" s="27">
        <f>Data!F26</f>
        <v>42065.867580706021</v>
      </c>
      <c r="F26" s="20" t="str">
        <f>Data!G26</f>
        <v>DebugRecord</v>
      </c>
      <c r="G26" s="20">
        <f>Data!H26</f>
        <v>0</v>
      </c>
      <c r="H26" s="20">
        <f>Data!I26</f>
        <v>0</v>
      </c>
      <c r="I26" s="20">
        <f>Data!J26</f>
        <v>0</v>
      </c>
      <c r="J26" s="21" t="str">
        <f>IF(Data!K26=0,"",Data!K26)</f>
        <v/>
      </c>
      <c r="K26" s="22">
        <f>Data!L26</f>
        <v>0</v>
      </c>
      <c r="L26" s="21" t="str">
        <f>IF(Data!N26=0,"",Data!N26)</f>
        <v>InvalidDate</v>
      </c>
      <c r="M26" s="20">
        <f>Data!O26</f>
        <v>0</v>
      </c>
      <c r="N26" s="20">
        <f>Data!P26</f>
        <v>0</v>
      </c>
      <c r="O26" s="20">
        <f>Data!Q26</f>
        <v>0</v>
      </c>
      <c r="P26" s="20">
        <f>Data!R26</f>
        <v>0</v>
      </c>
      <c r="Q26" s="20">
        <f>Data!S26</f>
        <v>0</v>
      </c>
      <c r="R26" s="20">
        <f>Data!T26</f>
        <v>0</v>
      </c>
      <c r="S26" s="20">
        <f>Data!U26</f>
        <v>0</v>
      </c>
      <c r="T26" s="20">
        <f>Data!V26</f>
        <v>0</v>
      </c>
      <c r="U26" s="20">
        <f>Data!W26</f>
        <v>0</v>
      </c>
      <c r="V26" s="20">
        <f>Data!X26</f>
        <v>0</v>
      </c>
      <c r="W26" s="20">
        <f>Data!Y26</f>
        <v>0</v>
      </c>
      <c r="X26" s="20">
        <f>Data!Z26</f>
        <v>0</v>
      </c>
      <c r="Y26" s="22" t="str">
        <f>Data!AL26</f>
        <v>700C0000007D32540000001A17C018</v>
      </c>
      <c r="Z26" s="20">
        <f>Data!AC26</f>
        <v>0</v>
      </c>
      <c r="AA26" s="20">
        <f>Data!AE26</f>
        <v>0</v>
      </c>
      <c r="AB26" s="20">
        <f>Data!AG26</f>
        <v>0</v>
      </c>
      <c r="AC26" s="20" t="str">
        <f>CONCATENATE(Data!AI26," ",Data!AJ26)</f>
        <v xml:space="preserve"> </v>
      </c>
    </row>
    <row r="27" spans="1:29" ht="15">
      <c r="A27" s="20" t="str">
        <f>Data!A27</f>
        <v>デモ機</v>
      </c>
      <c r="B27" s="20" t="str">
        <f>Data!C27</f>
        <v>Entire Organization</v>
      </c>
      <c r="C27" s="20" t="str">
        <f>IF(Data!E27=0,"",Data!E27)</f>
        <v/>
      </c>
      <c r="D27" s="26">
        <f t="shared" si="0"/>
        <v>42065.86759065972</v>
      </c>
      <c r="E27" s="27">
        <f>Data!F27</f>
        <v>42065.86759065972</v>
      </c>
      <c r="F27" s="20" t="str">
        <f>Data!G27</f>
        <v>DebugRecord</v>
      </c>
      <c r="G27" s="20">
        <f>Data!H27</f>
        <v>0</v>
      </c>
      <c r="H27" s="20">
        <f>Data!I27</f>
        <v>0</v>
      </c>
      <c r="I27" s="20">
        <f>Data!J27</f>
        <v>0</v>
      </c>
      <c r="J27" s="21" t="str">
        <f>IF(Data!K27=0,"",Data!K27)</f>
        <v/>
      </c>
      <c r="K27" s="22">
        <f>Data!L27</f>
        <v>0</v>
      </c>
      <c r="L27" s="21" t="str">
        <f>IF(Data!N27=0,"",Data!N27)</f>
        <v>UnknownData</v>
      </c>
      <c r="M27" s="20">
        <f>Data!O27</f>
        <v>0</v>
      </c>
      <c r="N27" s="20">
        <f>Data!P27</f>
        <v>0</v>
      </c>
      <c r="O27" s="20">
        <f>Data!Q27</f>
        <v>0</v>
      </c>
      <c r="P27" s="20">
        <f>Data!R27</f>
        <v>0</v>
      </c>
      <c r="Q27" s="20">
        <f>Data!S27</f>
        <v>0</v>
      </c>
      <c r="R27" s="20">
        <f>Data!T27</f>
        <v>0</v>
      </c>
      <c r="S27" s="20">
        <f>Data!U27</f>
        <v>0</v>
      </c>
      <c r="T27" s="20">
        <f>Data!V27</f>
        <v>0</v>
      </c>
      <c r="U27" s="20">
        <f>Data!W27</f>
        <v>0</v>
      </c>
      <c r="V27" s="20">
        <f>Data!X27</f>
        <v>0</v>
      </c>
      <c r="W27" s="20">
        <f>Data!Y27</f>
        <v>0</v>
      </c>
      <c r="X27" s="20">
        <f>Data!Z27</f>
        <v>0</v>
      </c>
      <c r="Y27" s="22" t="str">
        <f>Data!AL27</f>
        <v>1241542B555245473F0D0000000000</v>
      </c>
      <c r="Z27" s="20">
        <f>Data!AC27</f>
        <v>0</v>
      </c>
      <c r="AA27" s="20">
        <f>Data!AE27</f>
        <v>0</v>
      </c>
      <c r="AB27" s="20">
        <f>Data!AG27</f>
        <v>0</v>
      </c>
      <c r="AC27" s="20" t="str">
        <f>CONCATENATE(Data!AI27," ",Data!AJ27)</f>
        <v xml:space="preserve"> </v>
      </c>
    </row>
    <row r="28" spans="1:29" ht="15">
      <c r="A28" s="20" t="str">
        <f>Data!A28</f>
        <v>デモ機</v>
      </c>
      <c r="B28" s="20" t="str">
        <f>Data!C28</f>
        <v>Entire Organization</v>
      </c>
      <c r="C28" s="20" t="str">
        <f>IF(Data!E28=0,"",Data!E28)</f>
        <v/>
      </c>
      <c r="D28" s="26">
        <f t="shared" si="0"/>
        <v>42065.86759065972</v>
      </c>
      <c r="E28" s="27">
        <f>Data!F28</f>
        <v>42065.86759065972</v>
      </c>
      <c r="F28" s="20" t="str">
        <f>Data!G28</f>
        <v>DebugRecord</v>
      </c>
      <c r="G28" s="20">
        <f>Data!H28</f>
        <v>0</v>
      </c>
      <c r="H28" s="20">
        <f>Data!I28</f>
        <v>0</v>
      </c>
      <c r="I28" s="20">
        <f>Data!J28</f>
        <v>0</v>
      </c>
      <c r="J28" s="21" t="str">
        <f>IF(Data!K28=0,"",Data!K28)</f>
        <v/>
      </c>
      <c r="K28" s="22">
        <f>Data!L28</f>
        <v>0</v>
      </c>
      <c r="L28" s="21" t="str">
        <f>IF(Data!N28=0,"",Data!N28)</f>
        <v>InvalidDate</v>
      </c>
      <c r="M28" s="20">
        <f>Data!O28</f>
        <v>0</v>
      </c>
      <c r="N28" s="20">
        <f>Data!P28</f>
        <v>0</v>
      </c>
      <c r="O28" s="20">
        <f>Data!Q28</f>
        <v>0</v>
      </c>
      <c r="P28" s="20">
        <f>Data!R28</f>
        <v>0</v>
      </c>
      <c r="Q28" s="20">
        <f>Data!S28</f>
        <v>0</v>
      </c>
      <c r="R28" s="20">
        <f>Data!T28</f>
        <v>0</v>
      </c>
      <c r="S28" s="20">
        <f>Data!U28</f>
        <v>0</v>
      </c>
      <c r="T28" s="20">
        <f>Data!V28</f>
        <v>0</v>
      </c>
      <c r="U28" s="20">
        <f>Data!W28</f>
        <v>0</v>
      </c>
      <c r="V28" s="20">
        <f>Data!X28</f>
        <v>0</v>
      </c>
      <c r="W28" s="20">
        <f>Data!Y28</f>
        <v>0</v>
      </c>
      <c r="X28" s="20">
        <f>Data!Z28</f>
        <v>0</v>
      </c>
      <c r="Y28" s="22" t="str">
        <f>Data!AL28</f>
        <v>701E000000308F0000000000000000</v>
      </c>
      <c r="Z28" s="20">
        <f>Data!AC28</f>
        <v>0</v>
      </c>
      <c r="AA28" s="20">
        <f>Data!AE28</f>
        <v>0</v>
      </c>
      <c r="AB28" s="20">
        <f>Data!AG28</f>
        <v>0</v>
      </c>
      <c r="AC28" s="20" t="str">
        <f>CONCATENATE(Data!AI28," ",Data!AJ28)</f>
        <v xml:space="preserve"> </v>
      </c>
    </row>
    <row r="29" spans="1:29" ht="15">
      <c r="A29" s="20" t="str">
        <f>Data!A29</f>
        <v>デモ機</v>
      </c>
      <c r="B29" s="20" t="str">
        <f>Data!C29</f>
        <v>Entire Organization</v>
      </c>
      <c r="C29" s="20" t="str">
        <f>IF(Data!E29=0,"",Data!E29)</f>
        <v/>
      </c>
      <c r="D29" s="26">
        <f t="shared" si="0"/>
        <v>42065.86759065972</v>
      </c>
      <c r="E29" s="27">
        <f>Data!F29</f>
        <v>42065.86759065972</v>
      </c>
      <c r="F29" s="20" t="str">
        <f>Data!G29</f>
        <v>DebugRecord</v>
      </c>
      <c r="G29" s="20">
        <f>Data!H29</f>
        <v>0</v>
      </c>
      <c r="H29" s="20">
        <f>Data!I29</f>
        <v>0</v>
      </c>
      <c r="I29" s="20">
        <f>Data!J29</f>
        <v>0</v>
      </c>
      <c r="J29" s="21" t="str">
        <f>IF(Data!K29=0,"",Data!K29)</f>
        <v/>
      </c>
      <c r="K29" s="22">
        <f>Data!L29</f>
        <v>0</v>
      </c>
      <c r="L29" s="21" t="str">
        <f>IF(Data!N29=0,"",Data!N29)</f>
        <v>InvalidDate</v>
      </c>
      <c r="M29" s="20">
        <f>Data!O29</f>
        <v>0</v>
      </c>
      <c r="N29" s="20">
        <f>Data!P29</f>
        <v>0</v>
      </c>
      <c r="O29" s="20">
        <f>Data!Q29</f>
        <v>0</v>
      </c>
      <c r="P29" s="20">
        <f>Data!R29</f>
        <v>0</v>
      </c>
      <c r="Q29" s="20">
        <f>Data!S29</f>
        <v>0</v>
      </c>
      <c r="R29" s="20">
        <f>Data!T29</f>
        <v>0</v>
      </c>
      <c r="S29" s="20">
        <f>Data!U29</f>
        <v>0</v>
      </c>
      <c r="T29" s="20">
        <f>Data!V29</f>
        <v>0</v>
      </c>
      <c r="U29" s="20">
        <f>Data!W29</f>
        <v>0</v>
      </c>
      <c r="V29" s="20">
        <f>Data!X29</f>
        <v>0</v>
      </c>
      <c r="W29" s="20">
        <f>Data!Y29</f>
        <v>0</v>
      </c>
      <c r="X29" s="20">
        <f>Data!Z29</f>
        <v>0</v>
      </c>
      <c r="Y29" s="22" t="str">
        <f>Data!AL29</f>
        <v>701D000000B88C696E7465726E6500</v>
      </c>
      <c r="Z29" s="20">
        <f>Data!AC29</f>
        <v>0</v>
      </c>
      <c r="AA29" s="20">
        <f>Data!AE29</f>
        <v>0</v>
      </c>
      <c r="AB29" s="20">
        <f>Data!AG29</f>
        <v>0</v>
      </c>
      <c r="AC29" s="20" t="str">
        <f>CONCATENATE(Data!AI29," ",Data!AJ29)</f>
        <v xml:space="preserve"> </v>
      </c>
    </row>
    <row r="30" spans="1:29" ht="15">
      <c r="A30" s="20" t="str">
        <f>Data!A30</f>
        <v>デモ機</v>
      </c>
      <c r="B30" s="20" t="str">
        <f>Data!C30</f>
        <v>Entire Organization</v>
      </c>
      <c r="C30" s="20" t="str">
        <f>IF(Data!E30=0,"",Data!E30)</f>
        <v/>
      </c>
      <c r="D30" s="26">
        <f t="shared" si="0"/>
        <v>42065.86759065972</v>
      </c>
      <c r="E30" s="27">
        <f>Data!F30</f>
        <v>42065.86759065972</v>
      </c>
      <c r="F30" s="20" t="str">
        <f>Data!G30</f>
        <v>DebugRecord</v>
      </c>
      <c r="G30" s="20">
        <f>Data!H30</f>
        <v>0</v>
      </c>
      <c r="H30" s="20">
        <f>Data!I30</f>
        <v>0</v>
      </c>
      <c r="I30" s="20">
        <f>Data!J30</f>
        <v>0</v>
      </c>
      <c r="J30" s="21" t="str">
        <f>IF(Data!K30=0,"",Data!K30)</f>
        <v/>
      </c>
      <c r="K30" s="22">
        <f>Data!L30</f>
        <v>0</v>
      </c>
      <c r="L30" s="21" t="str">
        <f>IF(Data!N30=0,"",Data!N30)</f>
        <v>InvalidDate</v>
      </c>
      <c r="M30" s="20">
        <f>Data!O30</f>
        <v>0</v>
      </c>
      <c r="N30" s="20">
        <f>Data!P30</f>
        <v>0</v>
      </c>
      <c r="O30" s="20">
        <f>Data!Q30</f>
        <v>0</v>
      </c>
      <c r="P30" s="20">
        <f>Data!R30</f>
        <v>0</v>
      </c>
      <c r="Q30" s="20">
        <f>Data!S30</f>
        <v>0</v>
      </c>
      <c r="R30" s="20">
        <f>Data!T30</f>
        <v>0</v>
      </c>
      <c r="S30" s="20">
        <f>Data!U30</f>
        <v>0</v>
      </c>
      <c r="T30" s="20">
        <f>Data!V30</f>
        <v>0</v>
      </c>
      <c r="U30" s="20">
        <f>Data!W30</f>
        <v>0</v>
      </c>
      <c r="V30" s="20">
        <f>Data!X30</f>
        <v>0</v>
      </c>
      <c r="W30" s="20">
        <f>Data!Y30</f>
        <v>0</v>
      </c>
      <c r="X30" s="20">
        <f>Data!Z30</f>
        <v>0</v>
      </c>
      <c r="Y30" s="22" t="str">
        <f>Data!AL30</f>
        <v>6F1D000000B85CC3696E7465726E65</v>
      </c>
      <c r="Z30" s="20">
        <f>Data!AC30</f>
        <v>0</v>
      </c>
      <c r="AA30" s="20">
        <f>Data!AE30</f>
        <v>0</v>
      </c>
      <c r="AB30" s="20">
        <f>Data!AG30</f>
        <v>0</v>
      </c>
      <c r="AC30" s="20" t="str">
        <f>CONCATENATE(Data!AI30," ",Data!AJ30)</f>
        <v xml:space="preserve"> </v>
      </c>
    </row>
    <row r="31" spans="1:29" ht="15">
      <c r="A31" s="20" t="str">
        <f>Data!A31</f>
        <v>デモ機</v>
      </c>
      <c r="B31" s="20" t="str">
        <f>Data!C31</f>
        <v>Entire Organization</v>
      </c>
      <c r="C31" s="20" t="str">
        <f>IF(Data!E31=0,"",Data!E31)</f>
        <v/>
      </c>
      <c r="D31" s="26">
        <f t="shared" si="0"/>
        <v>42065.86759065972</v>
      </c>
      <c r="E31" s="27">
        <f>Data!F31</f>
        <v>42065.86759065972</v>
      </c>
      <c r="F31" s="20" t="str">
        <f>Data!G31</f>
        <v>DebugRecord</v>
      </c>
      <c r="G31" s="20">
        <f>Data!H31</f>
        <v>0</v>
      </c>
      <c r="H31" s="20">
        <f>Data!I31</f>
        <v>0</v>
      </c>
      <c r="I31" s="20">
        <f>Data!J31</f>
        <v>0</v>
      </c>
      <c r="J31" s="21" t="str">
        <f>IF(Data!K31=0,"",Data!K31)</f>
        <v/>
      </c>
      <c r="K31" s="22">
        <f>Data!L31</f>
        <v>0</v>
      </c>
      <c r="L31" s="21" t="str">
        <f>IF(Data!N31=0,"",Data!N31)</f>
        <v>InvalidDate</v>
      </c>
      <c r="M31" s="20">
        <f>Data!O31</f>
        <v>0</v>
      </c>
      <c r="N31" s="20">
        <f>Data!P31</f>
        <v>0</v>
      </c>
      <c r="O31" s="20">
        <f>Data!Q31</f>
        <v>0</v>
      </c>
      <c r="P31" s="20">
        <f>Data!R31</f>
        <v>0</v>
      </c>
      <c r="Q31" s="20">
        <f>Data!S31</f>
        <v>0</v>
      </c>
      <c r="R31" s="20">
        <f>Data!T31</f>
        <v>0</v>
      </c>
      <c r="S31" s="20">
        <f>Data!U31</f>
        <v>0</v>
      </c>
      <c r="T31" s="20">
        <f>Data!V31</f>
        <v>0</v>
      </c>
      <c r="U31" s="20">
        <f>Data!W31</f>
        <v>0</v>
      </c>
      <c r="V31" s="20">
        <f>Data!X31</f>
        <v>0</v>
      </c>
      <c r="W31" s="20">
        <f>Data!Y31</f>
        <v>0</v>
      </c>
      <c r="X31" s="20">
        <f>Data!Z31</f>
        <v>0</v>
      </c>
      <c r="Y31" s="22" t="str">
        <f>Data!AL31</f>
        <v>701A00000020920000000000000000</v>
      </c>
      <c r="Z31" s="20">
        <f>Data!AC31</f>
        <v>0</v>
      </c>
      <c r="AA31" s="20">
        <f>Data!AE31</f>
        <v>0</v>
      </c>
      <c r="AB31" s="20">
        <f>Data!AG31</f>
        <v>0</v>
      </c>
      <c r="AC31" s="20" t="str">
        <f>CONCATENATE(Data!AI31," ",Data!AJ31)</f>
        <v xml:space="preserve"> </v>
      </c>
    </row>
    <row r="32" spans="1:29" ht="15">
      <c r="A32" s="20" t="str">
        <f>Data!A32</f>
        <v>デモ機</v>
      </c>
      <c r="B32" s="20" t="str">
        <f>Data!C32</f>
        <v>Entire Organization</v>
      </c>
      <c r="C32" s="20" t="str">
        <f>IF(Data!E32=0,"",Data!E32)</f>
        <v/>
      </c>
      <c r="D32" s="26">
        <f t="shared" si="0"/>
        <v>42065.86759065972</v>
      </c>
      <c r="E32" s="27">
        <f>Data!F32</f>
        <v>42065.86759065972</v>
      </c>
      <c r="F32" s="20" t="str">
        <f>Data!G32</f>
        <v>DebugRecord</v>
      </c>
      <c r="G32" s="20">
        <f>Data!H32</f>
        <v>0</v>
      </c>
      <c r="H32" s="20">
        <f>Data!I32</f>
        <v>0</v>
      </c>
      <c r="I32" s="20">
        <f>Data!J32</f>
        <v>0</v>
      </c>
      <c r="J32" s="21" t="str">
        <f>IF(Data!K32=0,"",Data!K32)</f>
        <v/>
      </c>
      <c r="K32" s="22">
        <f>Data!L32</f>
        <v>0</v>
      </c>
      <c r="L32" s="21" t="str">
        <f>IF(Data!N32=0,"",Data!N32)</f>
        <v>InvalidDate</v>
      </c>
      <c r="M32" s="20">
        <f>Data!O32</f>
        <v>0</v>
      </c>
      <c r="N32" s="20">
        <f>Data!P32</f>
        <v>0</v>
      </c>
      <c r="O32" s="20">
        <f>Data!Q32</f>
        <v>0</v>
      </c>
      <c r="P32" s="20">
        <f>Data!R32</f>
        <v>0</v>
      </c>
      <c r="Q32" s="20">
        <f>Data!S32</f>
        <v>0</v>
      </c>
      <c r="R32" s="20">
        <f>Data!T32</f>
        <v>0</v>
      </c>
      <c r="S32" s="20">
        <f>Data!U32</f>
        <v>0</v>
      </c>
      <c r="T32" s="20">
        <f>Data!V32</f>
        <v>0</v>
      </c>
      <c r="U32" s="20">
        <f>Data!W32</f>
        <v>0</v>
      </c>
      <c r="V32" s="20">
        <f>Data!X32</f>
        <v>0</v>
      </c>
      <c r="W32" s="20">
        <f>Data!Y32</f>
        <v>0</v>
      </c>
      <c r="X32" s="20">
        <f>Data!Z32</f>
        <v>0</v>
      </c>
      <c r="Y32" s="22" t="str">
        <f>Data!AL32</f>
        <v>701A0000001E890E00000000000000</v>
      </c>
      <c r="Z32" s="20">
        <f>Data!AC32</f>
        <v>0</v>
      </c>
      <c r="AA32" s="20">
        <f>Data!AE32</f>
        <v>0</v>
      </c>
      <c r="AB32" s="20">
        <f>Data!AG32</f>
        <v>0</v>
      </c>
      <c r="AC32" s="20" t="str">
        <f>CONCATENATE(Data!AI32," ",Data!AJ32)</f>
        <v xml:space="preserve"> </v>
      </c>
    </row>
    <row r="33" spans="1:29" ht="15">
      <c r="A33" s="20" t="str">
        <f>Data!A33</f>
        <v>デモ機</v>
      </c>
      <c r="B33" s="20" t="str">
        <f>Data!C33</f>
        <v>Entire Organization</v>
      </c>
      <c r="C33" s="20" t="str">
        <f>IF(Data!E33=0,"",Data!E33)</f>
        <v/>
      </c>
      <c r="D33" s="26">
        <f t="shared" si="0"/>
        <v>42065.86759065972</v>
      </c>
      <c r="E33" s="27">
        <f>Data!F33</f>
        <v>42065.86759065972</v>
      </c>
      <c r="F33" s="20" t="str">
        <f>Data!G33</f>
        <v>DebugRecord</v>
      </c>
      <c r="G33" s="20">
        <f>Data!H33</f>
        <v>0</v>
      </c>
      <c r="H33" s="20">
        <f>Data!I33</f>
        <v>0</v>
      </c>
      <c r="I33" s="20">
        <f>Data!J33</f>
        <v>0</v>
      </c>
      <c r="J33" s="21" t="str">
        <f>IF(Data!K33=0,"",Data!K33)</f>
        <v/>
      </c>
      <c r="K33" s="22">
        <f>Data!L33</f>
        <v>0</v>
      </c>
      <c r="L33" s="21" t="str">
        <f>IF(Data!N33=0,"",Data!N33)</f>
        <v>InvalidDate</v>
      </c>
      <c r="M33" s="20">
        <f>Data!O33</f>
        <v>0</v>
      </c>
      <c r="N33" s="20">
        <f>Data!P33</f>
        <v>0</v>
      </c>
      <c r="O33" s="20">
        <f>Data!Q33</f>
        <v>0</v>
      </c>
      <c r="P33" s="20">
        <f>Data!R33</f>
        <v>0</v>
      </c>
      <c r="Q33" s="20">
        <f>Data!S33</f>
        <v>0</v>
      </c>
      <c r="R33" s="20">
        <f>Data!T33</f>
        <v>0</v>
      </c>
      <c r="S33" s="20">
        <f>Data!U33</f>
        <v>0</v>
      </c>
      <c r="T33" s="20">
        <f>Data!V33</f>
        <v>0</v>
      </c>
      <c r="U33" s="20">
        <f>Data!W33</f>
        <v>0</v>
      </c>
      <c r="V33" s="20">
        <f>Data!X33</f>
        <v>0</v>
      </c>
      <c r="W33" s="20">
        <f>Data!Y33</f>
        <v>0</v>
      </c>
      <c r="X33" s="20">
        <f>Data!Z33</f>
        <v>0</v>
      </c>
      <c r="Y33" s="22" t="str">
        <f>Data!AL33</f>
        <v>701C00000005150000000000000000</v>
      </c>
      <c r="Z33" s="20">
        <f>Data!AC33</f>
        <v>0</v>
      </c>
      <c r="AA33" s="20">
        <f>Data!AE33</f>
        <v>0</v>
      </c>
      <c r="AB33" s="20">
        <f>Data!AG33</f>
        <v>0</v>
      </c>
      <c r="AC33" s="20" t="str">
        <f>CONCATENATE(Data!AI33," ",Data!AJ33)</f>
        <v xml:space="preserve"> </v>
      </c>
    </row>
    <row r="34" spans="1:29" ht="15">
      <c r="A34" s="20" t="str">
        <f>Data!A34</f>
        <v>デモ機</v>
      </c>
      <c r="B34" s="20" t="str">
        <f>Data!C34</f>
        <v>Entire Organization</v>
      </c>
      <c r="C34" s="20" t="str">
        <f>IF(Data!E34=0,"",Data!E34)</f>
        <v/>
      </c>
      <c r="D34" s="26">
        <f t="shared" si="0"/>
        <v>42065.86759065972</v>
      </c>
      <c r="E34" s="27">
        <f>Data!F34</f>
        <v>42065.86759065972</v>
      </c>
      <c r="F34" s="20" t="str">
        <f>Data!G34</f>
        <v>DebugRecord</v>
      </c>
      <c r="G34" s="20">
        <f>Data!H34</f>
        <v>0</v>
      </c>
      <c r="H34" s="20">
        <f>Data!I34</f>
        <v>0</v>
      </c>
      <c r="I34" s="20">
        <f>Data!J34</f>
        <v>0</v>
      </c>
      <c r="J34" s="21" t="str">
        <f>IF(Data!K34=0,"",Data!K34)</f>
        <v/>
      </c>
      <c r="K34" s="22">
        <f>Data!L34</f>
        <v>0</v>
      </c>
      <c r="L34" s="21" t="str">
        <f>IF(Data!N34=0,"",Data!N34)</f>
        <v>UnknownData</v>
      </c>
      <c r="M34" s="20">
        <f>Data!O34</f>
        <v>0</v>
      </c>
      <c r="N34" s="20">
        <f>Data!P34</f>
        <v>0</v>
      </c>
      <c r="O34" s="20">
        <f>Data!Q34</f>
        <v>0</v>
      </c>
      <c r="P34" s="20">
        <f>Data!R34</f>
        <v>0</v>
      </c>
      <c r="Q34" s="20">
        <f>Data!S34</f>
        <v>0</v>
      </c>
      <c r="R34" s="20">
        <f>Data!T34</f>
        <v>0</v>
      </c>
      <c r="S34" s="20">
        <f>Data!U34</f>
        <v>0</v>
      </c>
      <c r="T34" s="20">
        <f>Data!V34</f>
        <v>0</v>
      </c>
      <c r="U34" s="20">
        <f>Data!W34</f>
        <v>0</v>
      </c>
      <c r="V34" s="20">
        <f>Data!X34</f>
        <v>0</v>
      </c>
      <c r="W34" s="20">
        <f>Data!Y34</f>
        <v>0</v>
      </c>
      <c r="X34" s="20">
        <f>Data!Z34</f>
        <v>0</v>
      </c>
      <c r="Y34" s="22" t="str">
        <f>Data!AL34</f>
        <v>132B555245473A20302C3400300030</v>
      </c>
      <c r="Z34" s="20">
        <f>Data!AC34</f>
        <v>0</v>
      </c>
      <c r="AA34" s="20">
        <f>Data!AE34</f>
        <v>0</v>
      </c>
      <c r="AB34" s="20">
        <f>Data!AG34</f>
        <v>0</v>
      </c>
      <c r="AC34" s="20" t="str">
        <f>CONCATENATE(Data!AI34," ",Data!AJ34)</f>
        <v xml:space="preserve"> </v>
      </c>
    </row>
    <row r="35" spans="1:29" ht="15">
      <c r="A35" s="20" t="str">
        <f>Data!A35</f>
        <v>デモ機</v>
      </c>
      <c r="B35" s="20" t="str">
        <f>Data!C35</f>
        <v>Entire Organization</v>
      </c>
      <c r="C35" s="20" t="str">
        <f>IF(Data!E35=0,"",Data!E35)</f>
        <v/>
      </c>
      <c r="D35" s="26">
        <f t="shared" si="0"/>
        <v>42065.86759065972</v>
      </c>
      <c r="E35" s="27">
        <f>Data!F35</f>
        <v>42065.86759065972</v>
      </c>
      <c r="F35" s="20" t="str">
        <f>Data!G35</f>
        <v>DebugRecord</v>
      </c>
      <c r="G35" s="20">
        <f>Data!H35</f>
        <v>0</v>
      </c>
      <c r="H35" s="20">
        <f>Data!I35</f>
        <v>0</v>
      </c>
      <c r="I35" s="20">
        <f>Data!J35</f>
        <v>0</v>
      </c>
      <c r="J35" s="21" t="str">
        <f>IF(Data!K35=0,"",Data!K35)</f>
        <v/>
      </c>
      <c r="K35" s="22">
        <f>Data!L35</f>
        <v>0</v>
      </c>
      <c r="L35" s="21" t="str">
        <f>IF(Data!N35=0,"",Data!N35)</f>
        <v>InvalidDate</v>
      </c>
      <c r="M35" s="20">
        <f>Data!O35</f>
        <v>0</v>
      </c>
      <c r="N35" s="20">
        <f>Data!P35</f>
        <v>0</v>
      </c>
      <c r="O35" s="20">
        <f>Data!Q35</f>
        <v>0</v>
      </c>
      <c r="P35" s="20">
        <f>Data!R35</f>
        <v>0</v>
      </c>
      <c r="Q35" s="20">
        <f>Data!S35</f>
        <v>0</v>
      </c>
      <c r="R35" s="20">
        <f>Data!T35</f>
        <v>0</v>
      </c>
      <c r="S35" s="20">
        <f>Data!U35</f>
        <v>0</v>
      </c>
      <c r="T35" s="20">
        <f>Data!V35</f>
        <v>0</v>
      </c>
      <c r="U35" s="20">
        <f>Data!W35</f>
        <v>0</v>
      </c>
      <c r="V35" s="20">
        <f>Data!X35</f>
        <v>0</v>
      </c>
      <c r="W35" s="20">
        <f>Data!Y35</f>
        <v>0</v>
      </c>
      <c r="X35" s="20">
        <f>Data!Z35</f>
        <v>0</v>
      </c>
      <c r="Y35" s="22" t="str">
        <f>Data!AL35</f>
        <v>701500000008150000000000000000</v>
      </c>
      <c r="Z35" s="20">
        <f>Data!AC35</f>
        <v>0</v>
      </c>
      <c r="AA35" s="20">
        <f>Data!AE35</f>
        <v>0</v>
      </c>
      <c r="AB35" s="20">
        <f>Data!AG35</f>
        <v>0</v>
      </c>
      <c r="AC35" s="20" t="str">
        <f>CONCATENATE(Data!AI35," ",Data!AJ35)</f>
        <v xml:space="preserve"> </v>
      </c>
    </row>
    <row r="36" spans="1:29" ht="15">
      <c r="A36" s="20" t="str">
        <f>Data!A36</f>
        <v>デモ機</v>
      </c>
      <c r="B36" s="20" t="str">
        <f>Data!C36</f>
        <v>Entire Organization</v>
      </c>
      <c r="C36" s="20" t="str">
        <f>IF(Data!E36=0,"",Data!E36)</f>
        <v/>
      </c>
      <c r="D36" s="26">
        <f t="shared" si="0"/>
        <v>42065.86759065972</v>
      </c>
      <c r="E36" s="27">
        <f>Data!F36</f>
        <v>42065.86759065972</v>
      </c>
      <c r="F36" s="20" t="str">
        <f>Data!G36</f>
        <v>DebugRecord</v>
      </c>
      <c r="G36" s="20">
        <f>Data!H36</f>
        <v>0</v>
      </c>
      <c r="H36" s="20">
        <f>Data!I36</f>
        <v>0</v>
      </c>
      <c r="I36" s="20">
        <f>Data!J36</f>
        <v>0</v>
      </c>
      <c r="J36" s="21" t="str">
        <f>IF(Data!K36=0,"",Data!K36)</f>
        <v/>
      </c>
      <c r="K36" s="22">
        <f>Data!L36</f>
        <v>0</v>
      </c>
      <c r="L36" s="21" t="str">
        <f>IF(Data!N36=0,"",Data!N36)</f>
        <v>InvalidDate</v>
      </c>
      <c r="M36" s="20">
        <f>Data!O36</f>
        <v>0</v>
      </c>
      <c r="N36" s="20">
        <f>Data!P36</f>
        <v>0</v>
      </c>
      <c r="O36" s="20">
        <f>Data!Q36</f>
        <v>0</v>
      </c>
      <c r="P36" s="20">
        <f>Data!R36</f>
        <v>0</v>
      </c>
      <c r="Q36" s="20">
        <f>Data!S36</f>
        <v>0</v>
      </c>
      <c r="R36" s="20">
        <f>Data!T36</f>
        <v>0</v>
      </c>
      <c r="S36" s="20">
        <f>Data!U36</f>
        <v>0</v>
      </c>
      <c r="T36" s="20">
        <f>Data!V36</f>
        <v>0</v>
      </c>
      <c r="U36" s="20">
        <f>Data!W36</f>
        <v>0</v>
      </c>
      <c r="V36" s="20">
        <f>Data!X36</f>
        <v>0</v>
      </c>
      <c r="W36" s="20">
        <f>Data!Y36</f>
        <v>0</v>
      </c>
      <c r="X36" s="20">
        <f>Data!Z36</f>
        <v>0</v>
      </c>
      <c r="Y36" s="22" t="str">
        <f>Data!AL36</f>
        <v>70130000003032540000001A17C018</v>
      </c>
      <c r="Z36" s="20">
        <f>Data!AC36</f>
        <v>0</v>
      </c>
      <c r="AA36" s="20">
        <f>Data!AE36</f>
        <v>0</v>
      </c>
      <c r="AB36" s="20">
        <f>Data!AG36</f>
        <v>0</v>
      </c>
      <c r="AC36" s="20" t="str">
        <f>CONCATENATE(Data!AI36," ",Data!AJ36)</f>
        <v xml:space="preserve"> </v>
      </c>
    </row>
    <row r="37" spans="1:29" ht="15">
      <c r="A37" s="20" t="str">
        <f>Data!A37</f>
        <v>デモ機</v>
      </c>
      <c r="B37" s="20" t="str">
        <f>Data!C37</f>
        <v>Entire Organization</v>
      </c>
      <c r="C37" s="20" t="str">
        <f>IF(Data!E37=0,"",Data!E37)</f>
        <v/>
      </c>
      <c r="D37" s="26">
        <f t="shared" si="0"/>
        <v>42065.86759065972</v>
      </c>
      <c r="E37" s="27">
        <f>Data!F37</f>
        <v>42065.86759065972</v>
      </c>
      <c r="F37" s="20" t="str">
        <f>Data!G37</f>
        <v>DebugRecord</v>
      </c>
      <c r="G37" s="20">
        <f>Data!H37</f>
        <v>0</v>
      </c>
      <c r="H37" s="20">
        <f>Data!I37</f>
        <v>0</v>
      </c>
      <c r="I37" s="20">
        <f>Data!J37</f>
        <v>0</v>
      </c>
      <c r="J37" s="21" t="str">
        <f>IF(Data!K37=0,"",Data!K37)</f>
        <v/>
      </c>
      <c r="K37" s="22">
        <f>Data!L37</f>
        <v>0</v>
      </c>
      <c r="L37" s="21" t="str">
        <f>IF(Data!N37=0,"",Data!N37)</f>
        <v>InvalidDate</v>
      </c>
      <c r="M37" s="20">
        <f>Data!O37</f>
        <v>0</v>
      </c>
      <c r="N37" s="20">
        <f>Data!P37</f>
        <v>0</v>
      </c>
      <c r="O37" s="20">
        <f>Data!Q37</f>
        <v>0</v>
      </c>
      <c r="P37" s="20">
        <f>Data!R37</f>
        <v>0</v>
      </c>
      <c r="Q37" s="20">
        <f>Data!S37</f>
        <v>0</v>
      </c>
      <c r="R37" s="20">
        <f>Data!T37</f>
        <v>0</v>
      </c>
      <c r="S37" s="20">
        <f>Data!U37</f>
        <v>0</v>
      </c>
      <c r="T37" s="20">
        <f>Data!V37</f>
        <v>0</v>
      </c>
      <c r="U37" s="20">
        <f>Data!W37</f>
        <v>0</v>
      </c>
      <c r="V37" s="20">
        <f>Data!X37</f>
        <v>0</v>
      </c>
      <c r="W37" s="20">
        <f>Data!Y37</f>
        <v>0</v>
      </c>
      <c r="X37" s="20">
        <f>Data!Z37</f>
        <v>0</v>
      </c>
      <c r="Y37" s="22" t="str">
        <f>Data!AL37</f>
        <v>700E0000000B150000000000000000</v>
      </c>
      <c r="Z37" s="20">
        <f>Data!AC37</f>
        <v>0</v>
      </c>
      <c r="AA37" s="20">
        <f>Data!AE37</f>
        <v>0</v>
      </c>
      <c r="AB37" s="20">
        <f>Data!AG37</f>
        <v>0</v>
      </c>
      <c r="AC37" s="20" t="str">
        <f>CONCATENATE(Data!AI37," ",Data!AJ37)</f>
        <v xml:space="preserve"> </v>
      </c>
    </row>
    <row r="38" spans="1:29" ht="15">
      <c r="A38" s="20" t="str">
        <f>Data!A38</f>
        <v>デモ機</v>
      </c>
      <c r="B38" s="20" t="str">
        <f>Data!C38</f>
        <v>Entire Organization</v>
      </c>
      <c r="C38" s="20" t="str">
        <f>IF(Data!E38=0,"",Data!E38)</f>
        <v/>
      </c>
      <c r="D38" s="26">
        <f t="shared" si="0"/>
        <v>42065.86759065972</v>
      </c>
      <c r="E38" s="27">
        <f>Data!F38</f>
        <v>42065.86759065972</v>
      </c>
      <c r="F38" s="20" t="str">
        <f>Data!G38</f>
        <v>DebugRecord</v>
      </c>
      <c r="G38" s="20">
        <f>Data!H38</f>
        <v>0</v>
      </c>
      <c r="H38" s="20">
        <f>Data!I38</f>
        <v>0</v>
      </c>
      <c r="I38" s="20">
        <f>Data!J38</f>
        <v>0</v>
      </c>
      <c r="J38" s="21" t="str">
        <f>IF(Data!K38=0,"",Data!K38)</f>
        <v/>
      </c>
      <c r="K38" s="22">
        <f>Data!L38</f>
        <v>0</v>
      </c>
      <c r="L38" s="21" t="str">
        <f>IF(Data!N38=0,"",Data!N38)</f>
        <v>UnknownData</v>
      </c>
      <c r="M38" s="20">
        <f>Data!O38</f>
        <v>0</v>
      </c>
      <c r="N38" s="20">
        <f>Data!P38</f>
        <v>0</v>
      </c>
      <c r="O38" s="20">
        <f>Data!Q38</f>
        <v>0</v>
      </c>
      <c r="P38" s="20">
        <f>Data!R38</f>
        <v>0</v>
      </c>
      <c r="Q38" s="20">
        <f>Data!S38</f>
        <v>0</v>
      </c>
      <c r="R38" s="20">
        <f>Data!T38</f>
        <v>0</v>
      </c>
      <c r="S38" s="20">
        <f>Data!U38</f>
        <v>0</v>
      </c>
      <c r="T38" s="20">
        <f>Data!V38</f>
        <v>0</v>
      </c>
      <c r="U38" s="20">
        <f>Data!W38</f>
        <v>0</v>
      </c>
      <c r="V38" s="20">
        <f>Data!X38</f>
        <v>0</v>
      </c>
      <c r="W38" s="20">
        <f>Data!Y38</f>
        <v>0</v>
      </c>
      <c r="X38" s="20">
        <f>Data!Z38</f>
        <v>0</v>
      </c>
      <c r="Y38" s="22" t="str">
        <f>Data!AL38</f>
        <v>13882B4353513A2031342C34003000</v>
      </c>
      <c r="Z38" s="20">
        <f>Data!AC38</f>
        <v>0</v>
      </c>
      <c r="AA38" s="20">
        <f>Data!AE38</f>
        <v>0</v>
      </c>
      <c r="AB38" s="20">
        <f>Data!AG38</f>
        <v>0</v>
      </c>
      <c r="AC38" s="20" t="str">
        <f>CONCATENATE(Data!AI38," ",Data!AJ38)</f>
        <v xml:space="preserve"> </v>
      </c>
    </row>
    <row r="39" spans="1:29" ht="15">
      <c r="A39" s="20" t="str">
        <f>Data!A39</f>
        <v>デモ機</v>
      </c>
      <c r="B39" s="20" t="str">
        <f>Data!C39</f>
        <v>Entire Organization</v>
      </c>
      <c r="C39" s="20" t="str">
        <f>IF(Data!E39=0,"",Data!E39)</f>
        <v/>
      </c>
      <c r="D39" s="26">
        <f t="shared" si="0"/>
        <v>42065.867601122685</v>
      </c>
      <c r="E39" s="27">
        <f>Data!F39</f>
        <v>42065.867601122685</v>
      </c>
      <c r="F39" s="20" t="str">
        <f>Data!G39</f>
        <v>DebugRecord</v>
      </c>
      <c r="G39" s="20">
        <f>Data!H39</f>
        <v>0</v>
      </c>
      <c r="H39" s="20">
        <f>Data!I39</f>
        <v>0</v>
      </c>
      <c r="I39" s="20">
        <f>Data!J39</f>
        <v>0</v>
      </c>
      <c r="J39" s="21" t="str">
        <f>IF(Data!K39=0,"",Data!K39)</f>
        <v/>
      </c>
      <c r="K39" s="22">
        <f>Data!L39</f>
        <v>0</v>
      </c>
      <c r="L39" s="21" t="str">
        <f>IF(Data!N39=0,"",Data!N39)</f>
        <v>InvalidDate</v>
      </c>
      <c r="M39" s="20">
        <f>Data!O39</f>
        <v>0</v>
      </c>
      <c r="N39" s="20">
        <f>Data!P39</f>
        <v>0</v>
      </c>
      <c r="O39" s="20">
        <f>Data!Q39</f>
        <v>0</v>
      </c>
      <c r="P39" s="20">
        <f>Data!R39</f>
        <v>0</v>
      </c>
      <c r="Q39" s="20">
        <f>Data!S39</f>
        <v>0</v>
      </c>
      <c r="R39" s="20">
        <f>Data!T39</f>
        <v>0</v>
      </c>
      <c r="S39" s="20">
        <f>Data!U39</f>
        <v>0</v>
      </c>
      <c r="T39" s="20">
        <f>Data!V39</f>
        <v>0</v>
      </c>
      <c r="U39" s="20">
        <f>Data!W39</f>
        <v>0</v>
      </c>
      <c r="V39" s="20">
        <f>Data!X39</f>
        <v>0</v>
      </c>
      <c r="W39" s="20">
        <f>Data!Y39</f>
        <v>0</v>
      </c>
      <c r="X39" s="20">
        <f>Data!Z39</f>
        <v>0</v>
      </c>
      <c r="Y39" s="22" t="str">
        <f>Data!AL39</f>
        <v>701F00000083510000000000000000</v>
      </c>
      <c r="Z39" s="20">
        <f>Data!AC39</f>
        <v>0</v>
      </c>
      <c r="AA39" s="20">
        <f>Data!AE39</f>
        <v>0</v>
      </c>
      <c r="AB39" s="20">
        <f>Data!AG39</f>
        <v>0</v>
      </c>
      <c r="AC39" s="20" t="str">
        <f>CONCATENATE(Data!AI39," ",Data!AJ39)</f>
        <v xml:space="preserve"> </v>
      </c>
    </row>
    <row r="40" spans="1:29" ht="15">
      <c r="A40" s="20" t="str">
        <f>Data!A40</f>
        <v>デモ機</v>
      </c>
      <c r="B40" s="20" t="str">
        <f>Data!C40</f>
        <v>Entire Organization</v>
      </c>
      <c r="C40" s="20" t="str">
        <f>IF(Data!E40=0,"",Data!E40)</f>
        <v/>
      </c>
      <c r="D40" s="26">
        <f t="shared" si="0"/>
        <v>42065.867601122685</v>
      </c>
      <c r="E40" s="27">
        <f>Data!F40</f>
        <v>42065.867601122685</v>
      </c>
      <c r="F40" s="20" t="str">
        <f>Data!G40</f>
        <v>DebugRecord</v>
      </c>
      <c r="G40" s="20">
        <f>Data!H40</f>
        <v>0</v>
      </c>
      <c r="H40" s="20">
        <f>Data!I40</f>
        <v>0</v>
      </c>
      <c r="I40" s="20">
        <f>Data!J40</f>
        <v>0</v>
      </c>
      <c r="J40" s="21" t="str">
        <f>IF(Data!K40=0,"",Data!K40)</f>
        <v/>
      </c>
      <c r="K40" s="22">
        <f>Data!L40</f>
        <v>0</v>
      </c>
      <c r="L40" s="21" t="str">
        <f>IF(Data!N40=0,"",Data!N40)</f>
        <v>InvalidDate</v>
      </c>
      <c r="M40" s="20">
        <f>Data!O40</f>
        <v>0</v>
      </c>
      <c r="N40" s="20">
        <f>Data!P40</f>
        <v>0</v>
      </c>
      <c r="O40" s="20">
        <f>Data!Q40</f>
        <v>0</v>
      </c>
      <c r="P40" s="20">
        <f>Data!R40</f>
        <v>0</v>
      </c>
      <c r="Q40" s="20">
        <f>Data!S40</f>
        <v>0</v>
      </c>
      <c r="R40" s="20">
        <f>Data!T40</f>
        <v>0</v>
      </c>
      <c r="S40" s="20">
        <f>Data!U40</f>
        <v>0</v>
      </c>
      <c r="T40" s="20">
        <f>Data!V40</f>
        <v>0</v>
      </c>
      <c r="U40" s="20">
        <f>Data!W40</f>
        <v>0</v>
      </c>
      <c r="V40" s="20">
        <f>Data!X40</f>
        <v>0</v>
      </c>
      <c r="W40" s="20">
        <f>Data!Y40</f>
        <v>0</v>
      </c>
      <c r="X40" s="20">
        <f>Data!Z40</f>
        <v>0</v>
      </c>
      <c r="Y40" s="22" t="str">
        <f>Data!AL40</f>
        <v>701E000000C1810000000000000000</v>
      </c>
      <c r="Z40" s="20">
        <f>Data!AC40</f>
        <v>0</v>
      </c>
      <c r="AA40" s="20">
        <f>Data!AE40</f>
        <v>0</v>
      </c>
      <c r="AB40" s="20">
        <f>Data!AG40</f>
        <v>0</v>
      </c>
      <c r="AC40" s="20" t="str">
        <f>CONCATENATE(Data!AI40," ",Data!AJ40)</f>
        <v xml:space="preserve"> </v>
      </c>
    </row>
    <row r="41" spans="1:29" ht="15">
      <c r="A41" s="20" t="str">
        <f>Data!A41</f>
        <v>デモ機</v>
      </c>
      <c r="B41" s="20" t="str">
        <f>Data!C41</f>
        <v>Entire Organization</v>
      </c>
      <c r="C41" s="20" t="str">
        <f>IF(Data!E41=0,"",Data!E41)</f>
        <v/>
      </c>
      <c r="D41" s="26">
        <f t="shared" si="0"/>
        <v>42065.867601122685</v>
      </c>
      <c r="E41" s="27">
        <f>Data!F41</f>
        <v>42065.867601122685</v>
      </c>
      <c r="F41" s="20" t="str">
        <f>Data!G41</f>
        <v>DebugRecord</v>
      </c>
      <c r="G41" s="20">
        <f>Data!H41</f>
        <v>0</v>
      </c>
      <c r="H41" s="20">
        <f>Data!I41</f>
        <v>0</v>
      </c>
      <c r="I41" s="20">
        <f>Data!J41</f>
        <v>0</v>
      </c>
      <c r="J41" s="21" t="str">
        <f>IF(Data!K41=0,"",Data!K41)</f>
        <v/>
      </c>
      <c r="K41" s="22">
        <f>Data!L41</f>
        <v>0</v>
      </c>
      <c r="L41" s="21" t="str">
        <f>IF(Data!N41=0,"",Data!N41)</f>
        <v>InvalidDate</v>
      </c>
      <c r="M41" s="20">
        <f>Data!O41</f>
        <v>0</v>
      </c>
      <c r="N41" s="20">
        <f>Data!P41</f>
        <v>0</v>
      </c>
      <c r="O41" s="20">
        <f>Data!Q41</f>
        <v>0</v>
      </c>
      <c r="P41" s="20">
        <f>Data!R41</f>
        <v>0</v>
      </c>
      <c r="Q41" s="20">
        <f>Data!S41</f>
        <v>0</v>
      </c>
      <c r="R41" s="20">
        <f>Data!T41</f>
        <v>0</v>
      </c>
      <c r="S41" s="20">
        <f>Data!U41</f>
        <v>0</v>
      </c>
      <c r="T41" s="20">
        <f>Data!V41</f>
        <v>0</v>
      </c>
      <c r="U41" s="20">
        <f>Data!W41</f>
        <v>0</v>
      </c>
      <c r="V41" s="20">
        <f>Data!X41</f>
        <v>0</v>
      </c>
      <c r="W41" s="20">
        <f>Data!Y41</f>
        <v>0</v>
      </c>
      <c r="X41" s="20">
        <f>Data!Z41</f>
        <v>0</v>
      </c>
      <c r="Y41" s="22" t="str">
        <f>Data!AL41</f>
        <v>6F1F0000007D5DC34E545420444F80</v>
      </c>
      <c r="Z41" s="20">
        <f>Data!AC41</f>
        <v>0</v>
      </c>
      <c r="AA41" s="20">
        <f>Data!AE41</f>
        <v>0</v>
      </c>
      <c r="AB41" s="20">
        <f>Data!AG41</f>
        <v>0</v>
      </c>
      <c r="AC41" s="20" t="str">
        <f>CONCATENATE(Data!AI41," ",Data!AJ41)</f>
        <v xml:space="preserve"> </v>
      </c>
    </row>
    <row r="42" spans="1:29" ht="15">
      <c r="A42" s="20" t="str">
        <f>Data!A42</f>
        <v>デモ機</v>
      </c>
      <c r="B42" s="20" t="str">
        <f>Data!C42</f>
        <v>Entire Organization</v>
      </c>
      <c r="C42" s="20" t="str">
        <f>IF(Data!E42=0,"",Data!E42)</f>
        <v/>
      </c>
      <c r="D42" s="26">
        <f t="shared" si="0"/>
        <v>42065.867601122685</v>
      </c>
      <c r="E42" s="27">
        <f>Data!F42</f>
        <v>42065.867601122685</v>
      </c>
      <c r="F42" s="20" t="str">
        <f>Data!G42</f>
        <v>DebugRecord</v>
      </c>
      <c r="G42" s="20">
        <f>Data!H42</f>
        <v>0</v>
      </c>
      <c r="H42" s="20">
        <f>Data!I42</f>
        <v>0</v>
      </c>
      <c r="I42" s="20">
        <f>Data!J42</f>
        <v>0</v>
      </c>
      <c r="J42" s="21" t="str">
        <f>IF(Data!K42=0,"",Data!K42)</f>
        <v/>
      </c>
      <c r="K42" s="22">
        <f>Data!L42</f>
        <v>0</v>
      </c>
      <c r="L42" s="21" t="str">
        <f>IF(Data!N42=0,"",Data!N42)</f>
        <v>InvalidDate</v>
      </c>
      <c r="M42" s="20">
        <f>Data!O42</f>
        <v>0</v>
      </c>
      <c r="N42" s="20">
        <f>Data!P42</f>
        <v>0</v>
      </c>
      <c r="O42" s="20">
        <f>Data!Q42</f>
        <v>0</v>
      </c>
      <c r="P42" s="20">
        <f>Data!R42</f>
        <v>0</v>
      </c>
      <c r="Q42" s="20">
        <f>Data!S42</f>
        <v>0</v>
      </c>
      <c r="R42" s="20">
        <f>Data!T42</f>
        <v>0</v>
      </c>
      <c r="S42" s="20">
        <f>Data!U42</f>
        <v>0</v>
      </c>
      <c r="T42" s="20">
        <f>Data!V42</f>
        <v>0</v>
      </c>
      <c r="U42" s="20">
        <f>Data!W42</f>
        <v>0</v>
      </c>
      <c r="V42" s="20">
        <f>Data!X42</f>
        <v>0</v>
      </c>
      <c r="W42" s="20">
        <f>Data!Y42</f>
        <v>0</v>
      </c>
      <c r="X42" s="20">
        <f>Data!Z42</f>
        <v>0</v>
      </c>
      <c r="Y42" s="22" t="str">
        <f>Data!AL42</f>
        <v>201F00000057331568155301001900</v>
      </c>
      <c r="Z42" s="20">
        <f>Data!AC42</f>
        <v>0</v>
      </c>
      <c r="AA42" s="20">
        <f>Data!AE42</f>
        <v>0</v>
      </c>
      <c r="AB42" s="20">
        <f>Data!AG42</f>
        <v>0</v>
      </c>
      <c r="AC42" s="20" t="str">
        <f>CONCATENATE(Data!AI42," ",Data!AJ42)</f>
        <v xml:space="preserve"> </v>
      </c>
    </row>
    <row r="43" spans="1:29" ht="15">
      <c r="A43" s="20" t="str">
        <f>Data!A43</f>
        <v>デモ機</v>
      </c>
      <c r="B43" s="20" t="str">
        <f>Data!C43</f>
        <v>Entire Organization</v>
      </c>
      <c r="C43" s="20" t="str">
        <f>IF(Data!E43=0,"",Data!E43)</f>
        <v/>
      </c>
      <c r="D43" s="26">
        <f t="shared" si="0"/>
        <v>42065.867601122685</v>
      </c>
      <c r="E43" s="27">
        <f>Data!F43</f>
        <v>42065.867601122685</v>
      </c>
      <c r="F43" s="20" t="str">
        <f>Data!G43</f>
        <v>DebugRecord</v>
      </c>
      <c r="G43" s="20">
        <f>Data!H43</f>
        <v>0</v>
      </c>
      <c r="H43" s="20">
        <f>Data!I43</f>
        <v>0</v>
      </c>
      <c r="I43" s="20">
        <f>Data!J43</f>
        <v>0</v>
      </c>
      <c r="J43" s="21" t="str">
        <f>IF(Data!K43=0,"",Data!K43)</f>
        <v/>
      </c>
      <c r="K43" s="22">
        <f>Data!L43</f>
        <v>0</v>
      </c>
      <c r="L43" s="21" t="str">
        <f>IF(Data!N43=0,"",Data!N43)</f>
        <v>InvalidDate</v>
      </c>
      <c r="M43" s="20">
        <f>Data!O43</f>
        <v>0</v>
      </c>
      <c r="N43" s="20">
        <f>Data!P43</f>
        <v>0</v>
      </c>
      <c r="O43" s="20">
        <f>Data!Q43</f>
        <v>0</v>
      </c>
      <c r="P43" s="20">
        <f>Data!R43</f>
        <v>0</v>
      </c>
      <c r="Q43" s="20">
        <f>Data!S43</f>
        <v>0</v>
      </c>
      <c r="R43" s="20">
        <f>Data!T43</f>
        <v>0</v>
      </c>
      <c r="S43" s="20">
        <f>Data!U43</f>
        <v>0</v>
      </c>
      <c r="T43" s="20">
        <f>Data!V43</f>
        <v>0</v>
      </c>
      <c r="U43" s="20">
        <f>Data!W43</f>
        <v>0</v>
      </c>
      <c r="V43" s="20">
        <f>Data!X43</f>
        <v>0</v>
      </c>
      <c r="W43" s="20">
        <f>Data!Y43</f>
        <v>0</v>
      </c>
      <c r="X43" s="20">
        <f>Data!Z43</f>
        <v>0</v>
      </c>
      <c r="Y43" s="22" t="str">
        <f>Data!AL43</f>
        <v>6F1F0000007D63C308000000000000</v>
      </c>
      <c r="Z43" s="20">
        <f>Data!AC43</f>
        <v>0</v>
      </c>
      <c r="AA43" s="20">
        <f>Data!AE43</f>
        <v>0</v>
      </c>
      <c r="AB43" s="20">
        <f>Data!AG43</f>
        <v>0</v>
      </c>
      <c r="AC43" s="20" t="str">
        <f>CONCATENATE(Data!AI43," ",Data!AJ43)</f>
        <v xml:space="preserve"> </v>
      </c>
    </row>
    <row r="44" spans="1:29" ht="15">
      <c r="A44" s="20" t="str">
        <f>Data!A44</f>
        <v>デモ機</v>
      </c>
      <c r="B44" s="20" t="str">
        <f>Data!C44</f>
        <v>Entire Organization</v>
      </c>
      <c r="C44" s="20" t="str">
        <f>IF(Data!E44=0,"",Data!E44)</f>
        <v/>
      </c>
      <c r="D44" s="26">
        <f t="shared" si="0"/>
        <v>42065.867601122685</v>
      </c>
      <c r="E44" s="27">
        <f>Data!F44</f>
        <v>42065.867601122685</v>
      </c>
      <c r="F44" s="20" t="str">
        <f>Data!G44</f>
        <v>DebugRecord</v>
      </c>
      <c r="G44" s="20">
        <f>Data!H44</f>
        <v>0</v>
      </c>
      <c r="H44" s="20">
        <f>Data!I44</f>
        <v>0</v>
      </c>
      <c r="I44" s="20">
        <f>Data!J44</f>
        <v>0</v>
      </c>
      <c r="J44" s="21" t="str">
        <f>IF(Data!K44=0,"",Data!K44)</f>
        <v/>
      </c>
      <c r="K44" s="22">
        <f>Data!L44</f>
        <v>0</v>
      </c>
      <c r="L44" s="21" t="str">
        <f>IF(Data!N44=0,"",Data!N44)</f>
        <v>InvalidDate</v>
      </c>
      <c r="M44" s="20">
        <f>Data!O44</f>
        <v>0</v>
      </c>
      <c r="N44" s="20">
        <f>Data!P44</f>
        <v>0</v>
      </c>
      <c r="O44" s="20">
        <f>Data!Q44</f>
        <v>0</v>
      </c>
      <c r="P44" s="20">
        <f>Data!R44</f>
        <v>0</v>
      </c>
      <c r="Q44" s="20">
        <f>Data!S44</f>
        <v>0</v>
      </c>
      <c r="R44" s="20">
        <f>Data!T44</f>
        <v>0</v>
      </c>
      <c r="S44" s="20">
        <f>Data!U44</f>
        <v>0</v>
      </c>
      <c r="T44" s="20">
        <f>Data!V44</f>
        <v>0</v>
      </c>
      <c r="U44" s="20">
        <f>Data!W44</f>
        <v>0</v>
      </c>
      <c r="V44" s="20">
        <f>Data!X44</f>
        <v>0</v>
      </c>
      <c r="W44" s="20">
        <f>Data!Y44</f>
        <v>0</v>
      </c>
      <c r="X44" s="20">
        <f>Data!Z44</f>
        <v>0</v>
      </c>
      <c r="Y44" s="22" t="str">
        <f>Data!AL44</f>
        <v>702000000046780000000000000000</v>
      </c>
      <c r="Z44" s="20">
        <f>Data!AC44</f>
        <v>0</v>
      </c>
      <c r="AA44" s="20">
        <f>Data!AE44</f>
        <v>0</v>
      </c>
      <c r="AB44" s="20">
        <f>Data!AG44</f>
        <v>0</v>
      </c>
      <c r="AC44" s="20" t="str">
        <f>CONCATENATE(Data!AI44," ",Data!AJ44)</f>
        <v xml:space="preserve"> </v>
      </c>
    </row>
    <row r="45" spans="1:29" ht="15">
      <c r="A45" s="20" t="str">
        <f>Data!A45</f>
        <v>デモ機</v>
      </c>
      <c r="B45" s="20" t="str">
        <f>Data!C45</f>
        <v>Entire Organization</v>
      </c>
      <c r="C45" s="20" t="str">
        <f>IF(Data!E45=0,"",Data!E45)</f>
        <v/>
      </c>
      <c r="D45" s="26">
        <f t="shared" si="0"/>
        <v>42065.867601122685</v>
      </c>
      <c r="E45" s="27">
        <f>Data!F45</f>
        <v>42065.867601122685</v>
      </c>
      <c r="F45" s="20" t="str">
        <f>Data!G45</f>
        <v>DebugRecord</v>
      </c>
      <c r="G45" s="20">
        <f>Data!H45</f>
        <v>0</v>
      </c>
      <c r="H45" s="20">
        <f>Data!I45</f>
        <v>0</v>
      </c>
      <c r="I45" s="20">
        <f>Data!J45</f>
        <v>0</v>
      </c>
      <c r="J45" s="21" t="str">
        <f>IF(Data!K45=0,"",Data!K45)</f>
        <v/>
      </c>
      <c r="K45" s="22">
        <f>Data!L45</f>
        <v>0</v>
      </c>
      <c r="L45" s="21" t="str">
        <f>IF(Data!N45=0,"",Data!N45)</f>
        <v>InvalidDate</v>
      </c>
      <c r="M45" s="20">
        <f>Data!O45</f>
        <v>0</v>
      </c>
      <c r="N45" s="20">
        <f>Data!P45</f>
        <v>0</v>
      </c>
      <c r="O45" s="20">
        <f>Data!Q45</f>
        <v>0</v>
      </c>
      <c r="P45" s="20">
        <f>Data!R45</f>
        <v>0</v>
      </c>
      <c r="Q45" s="20">
        <f>Data!S45</f>
        <v>0</v>
      </c>
      <c r="R45" s="20">
        <f>Data!T45</f>
        <v>0</v>
      </c>
      <c r="S45" s="20">
        <f>Data!U45</f>
        <v>0</v>
      </c>
      <c r="T45" s="20">
        <f>Data!V45</f>
        <v>0</v>
      </c>
      <c r="U45" s="20">
        <f>Data!W45</f>
        <v>0</v>
      </c>
      <c r="V45" s="20">
        <f>Data!X45</f>
        <v>0</v>
      </c>
      <c r="W45" s="20">
        <f>Data!Y45</f>
        <v>0</v>
      </c>
      <c r="X45" s="20">
        <f>Data!Z45</f>
        <v>0</v>
      </c>
      <c r="Y45" s="22" t="str">
        <f>Data!AL45</f>
        <v>702300000002150000000000000000</v>
      </c>
      <c r="Z45" s="20">
        <f>Data!AC45</f>
        <v>0</v>
      </c>
      <c r="AA45" s="20">
        <f>Data!AE45</f>
        <v>0</v>
      </c>
      <c r="AB45" s="20">
        <f>Data!AG45</f>
        <v>0</v>
      </c>
      <c r="AC45" s="20" t="str">
        <f>CONCATENATE(Data!AI45," ",Data!AJ45)</f>
        <v xml:space="preserve"> </v>
      </c>
    </row>
    <row r="46" spans="1:29" ht="15">
      <c r="A46" s="20" t="str">
        <f>Data!A46</f>
        <v>デモ機</v>
      </c>
      <c r="B46" s="20" t="str">
        <f>Data!C46</f>
        <v>Entire Organization</v>
      </c>
      <c r="C46" s="20" t="str">
        <f>IF(Data!E46=0,"",Data!E46)</f>
        <v/>
      </c>
      <c r="D46" s="26">
        <f t="shared" si="0"/>
        <v>42065.867611805559</v>
      </c>
      <c r="E46" s="27">
        <f>Data!F46</f>
        <v>42065.867611805559</v>
      </c>
      <c r="F46" s="20" t="str">
        <f>Data!G46</f>
        <v>DebugRecord</v>
      </c>
      <c r="G46" s="20">
        <f>Data!H46</f>
        <v>0</v>
      </c>
      <c r="H46" s="20">
        <f>Data!I46</f>
        <v>0</v>
      </c>
      <c r="I46" s="20">
        <f>Data!J46</f>
        <v>0</v>
      </c>
      <c r="J46" s="21" t="str">
        <f>IF(Data!K46=0,"",Data!K46)</f>
        <v/>
      </c>
      <c r="K46" s="22">
        <f>Data!L46</f>
        <v>0</v>
      </c>
      <c r="L46" s="21" t="str">
        <f>IF(Data!N46=0,"",Data!N46)</f>
        <v>InvalidDate</v>
      </c>
      <c r="M46" s="20">
        <f>Data!O46</f>
        <v>0</v>
      </c>
      <c r="N46" s="20">
        <f>Data!P46</f>
        <v>0</v>
      </c>
      <c r="O46" s="20">
        <f>Data!Q46</f>
        <v>0</v>
      </c>
      <c r="P46" s="20">
        <f>Data!R46</f>
        <v>0</v>
      </c>
      <c r="Q46" s="20">
        <f>Data!S46</f>
        <v>0</v>
      </c>
      <c r="R46" s="20">
        <f>Data!T46</f>
        <v>0</v>
      </c>
      <c r="S46" s="20">
        <f>Data!U46</f>
        <v>0</v>
      </c>
      <c r="T46" s="20">
        <f>Data!V46</f>
        <v>0</v>
      </c>
      <c r="U46" s="20">
        <f>Data!W46</f>
        <v>0</v>
      </c>
      <c r="V46" s="20">
        <f>Data!X46</f>
        <v>0</v>
      </c>
      <c r="W46" s="20">
        <f>Data!Y46</f>
        <v>0</v>
      </c>
      <c r="X46" s="20">
        <f>Data!Z46</f>
        <v>0</v>
      </c>
      <c r="Y46" s="22" t="str">
        <f>Data!AL46</f>
        <v>7029000000FF150000000000000000</v>
      </c>
      <c r="Z46" s="20">
        <f>Data!AC46</f>
        <v>0</v>
      </c>
      <c r="AA46" s="20">
        <f>Data!AE46</f>
        <v>0</v>
      </c>
      <c r="AB46" s="20">
        <f>Data!AG46</f>
        <v>0</v>
      </c>
      <c r="AC46" s="20" t="str">
        <f>CONCATENATE(Data!AI46," ",Data!AJ46)</f>
        <v xml:space="preserve"> </v>
      </c>
    </row>
    <row r="47" spans="1:29" ht="15">
      <c r="A47" s="20" t="str">
        <f>Data!A47</f>
        <v>デモ機</v>
      </c>
      <c r="B47" s="20" t="str">
        <f>Data!C47</f>
        <v>Entire Organization</v>
      </c>
      <c r="C47" s="20" t="str">
        <f>IF(Data!E47=0,"",Data!E47)</f>
        <v/>
      </c>
      <c r="D47" s="26">
        <f t="shared" si="0"/>
        <v>42065.867763310183</v>
      </c>
      <c r="E47" s="27">
        <f>Data!F47</f>
        <v>42065.867763310183</v>
      </c>
      <c r="F47" s="20" t="str">
        <f>Data!G47</f>
        <v>DebugRecord</v>
      </c>
      <c r="G47" s="20">
        <f>Data!H47</f>
        <v>0</v>
      </c>
      <c r="H47" s="20">
        <f>Data!I47</f>
        <v>0</v>
      </c>
      <c r="I47" s="20">
        <f>Data!J47</f>
        <v>0</v>
      </c>
      <c r="J47" s="21" t="str">
        <f>IF(Data!K47=0,"",Data!K47)</f>
        <v/>
      </c>
      <c r="K47" s="22">
        <f>Data!L47</f>
        <v>0</v>
      </c>
      <c r="L47" s="21" t="str">
        <f>IF(Data!N47=0,"",Data!N47)</f>
        <v>InvalidDate</v>
      </c>
      <c r="M47" s="20">
        <f>Data!O47</f>
        <v>0</v>
      </c>
      <c r="N47" s="20">
        <f>Data!P47</f>
        <v>0</v>
      </c>
      <c r="O47" s="20">
        <f>Data!Q47</f>
        <v>0</v>
      </c>
      <c r="P47" s="20">
        <f>Data!R47</f>
        <v>0</v>
      </c>
      <c r="Q47" s="20">
        <f>Data!S47</f>
        <v>0</v>
      </c>
      <c r="R47" s="20">
        <f>Data!T47</f>
        <v>0</v>
      </c>
      <c r="S47" s="20">
        <f>Data!U47</f>
        <v>0</v>
      </c>
      <c r="T47" s="20">
        <f>Data!V47</f>
        <v>0</v>
      </c>
      <c r="U47" s="20">
        <f>Data!W47</f>
        <v>0</v>
      </c>
      <c r="V47" s="20">
        <f>Data!X47</f>
        <v>0</v>
      </c>
      <c r="W47" s="20">
        <f>Data!Y47</f>
        <v>0</v>
      </c>
      <c r="X47" s="20">
        <f>Data!Z47</f>
        <v>0</v>
      </c>
      <c r="Y47" s="22" t="str">
        <f>Data!AL47</f>
        <v>7037000000990A4601E40000000000</v>
      </c>
      <c r="Z47" s="20">
        <f>Data!AC47</f>
        <v>0</v>
      </c>
      <c r="AA47" s="20">
        <f>Data!AE47</f>
        <v>0</v>
      </c>
      <c r="AB47" s="20">
        <f>Data!AG47</f>
        <v>0</v>
      </c>
      <c r="AC47" s="20" t="str">
        <f>CONCATENATE(Data!AI47," ",Data!AJ47)</f>
        <v xml:space="preserve"> </v>
      </c>
    </row>
    <row r="48" spans="1:29" ht="15">
      <c r="A48" s="20" t="str">
        <f>Data!A48</f>
        <v>デモ機</v>
      </c>
      <c r="B48" s="20" t="str">
        <f>Data!C48</f>
        <v>Entire Organization</v>
      </c>
      <c r="C48" s="20" t="str">
        <f>IF(Data!E48=0,"",Data!E48)</f>
        <v/>
      </c>
      <c r="D48" s="26">
        <f t="shared" si="0"/>
        <v>42065.867763310183</v>
      </c>
      <c r="E48" s="27">
        <f>Data!F48</f>
        <v>42065.867763310183</v>
      </c>
      <c r="F48" s="20" t="str">
        <f>Data!G48</f>
        <v>DebugRecord</v>
      </c>
      <c r="G48" s="20">
        <f>Data!H48</f>
        <v>0</v>
      </c>
      <c r="H48" s="20">
        <f>Data!I48</f>
        <v>0</v>
      </c>
      <c r="I48" s="20">
        <f>Data!J48</f>
        <v>0</v>
      </c>
      <c r="J48" s="21" t="str">
        <f>IF(Data!K48=0,"",Data!K48)</f>
        <v/>
      </c>
      <c r="K48" s="22">
        <f>Data!L48</f>
        <v>0</v>
      </c>
      <c r="L48" s="21" t="str">
        <f>IF(Data!N48=0,"",Data!N48)</f>
        <v>InvalidDate</v>
      </c>
      <c r="M48" s="20">
        <f>Data!O48</f>
        <v>0</v>
      </c>
      <c r="N48" s="20">
        <f>Data!P48</f>
        <v>0</v>
      </c>
      <c r="O48" s="20">
        <f>Data!Q48</f>
        <v>0</v>
      </c>
      <c r="P48" s="20">
        <f>Data!R48</f>
        <v>0</v>
      </c>
      <c r="Q48" s="20">
        <f>Data!S48</f>
        <v>0</v>
      </c>
      <c r="R48" s="20">
        <f>Data!T48</f>
        <v>0</v>
      </c>
      <c r="S48" s="20">
        <f>Data!U48</f>
        <v>0</v>
      </c>
      <c r="T48" s="20">
        <f>Data!V48</f>
        <v>0</v>
      </c>
      <c r="U48" s="20">
        <f>Data!W48</f>
        <v>0</v>
      </c>
      <c r="V48" s="20">
        <f>Data!X48</f>
        <v>0</v>
      </c>
      <c r="W48" s="20">
        <f>Data!Y48</f>
        <v>0</v>
      </c>
      <c r="X48" s="20">
        <f>Data!Z48</f>
        <v>0</v>
      </c>
      <c r="Y48" s="22" t="str">
        <f>Data!AL48</f>
        <v>6F37000000B363C308000000000000</v>
      </c>
      <c r="Z48" s="20">
        <f>Data!AC48</f>
        <v>0</v>
      </c>
      <c r="AA48" s="20">
        <f>Data!AE48</f>
        <v>0</v>
      </c>
      <c r="AB48" s="20">
        <f>Data!AG48</f>
        <v>0</v>
      </c>
      <c r="AC48" s="20" t="str">
        <f>CONCATENATE(Data!AI48," ",Data!AJ48)</f>
        <v xml:space="preserve"> </v>
      </c>
    </row>
    <row r="49" spans="1:29" ht="15">
      <c r="A49" s="20" t="str">
        <f>Data!A49</f>
        <v>デモ機</v>
      </c>
      <c r="B49" s="20" t="str">
        <f>Data!C49</f>
        <v>Entire Organization</v>
      </c>
      <c r="C49" s="20" t="str">
        <f>IF(Data!E49=0,"",Data!E49)</f>
        <v/>
      </c>
      <c r="D49" s="26">
        <f t="shared" si="0"/>
        <v>42065.867776157407</v>
      </c>
      <c r="E49" s="27">
        <f>Data!F49</f>
        <v>42065.867776157407</v>
      </c>
      <c r="F49" s="20" t="str">
        <f>Data!G49</f>
        <v>DebugRecord</v>
      </c>
      <c r="G49" s="20">
        <f>Data!H49</f>
        <v>0</v>
      </c>
      <c r="H49" s="20">
        <f>Data!I49</f>
        <v>0</v>
      </c>
      <c r="I49" s="20">
        <f>Data!J49</f>
        <v>0</v>
      </c>
      <c r="J49" s="21" t="str">
        <f>IF(Data!K49=0,"",Data!K49)</f>
        <v/>
      </c>
      <c r="K49" s="22">
        <f>Data!L49</f>
        <v>0</v>
      </c>
      <c r="L49" s="21" t="str">
        <f>IF(Data!N49=0,"",Data!N49)</f>
        <v>InvalidDate</v>
      </c>
      <c r="M49" s="20">
        <f>Data!O49</f>
        <v>0</v>
      </c>
      <c r="N49" s="20">
        <f>Data!P49</f>
        <v>0</v>
      </c>
      <c r="O49" s="20">
        <f>Data!Q49</f>
        <v>0</v>
      </c>
      <c r="P49" s="20">
        <f>Data!R49</f>
        <v>0</v>
      </c>
      <c r="Q49" s="20">
        <f>Data!S49</f>
        <v>0</v>
      </c>
      <c r="R49" s="20">
        <f>Data!T49</f>
        <v>0</v>
      </c>
      <c r="S49" s="20">
        <f>Data!U49</f>
        <v>0</v>
      </c>
      <c r="T49" s="20">
        <f>Data!V49</f>
        <v>0</v>
      </c>
      <c r="U49" s="20">
        <f>Data!W49</f>
        <v>0</v>
      </c>
      <c r="V49" s="20">
        <f>Data!X49</f>
        <v>0</v>
      </c>
      <c r="W49" s="20">
        <f>Data!Y49</f>
        <v>0</v>
      </c>
      <c r="X49" s="20">
        <f>Data!Z49</f>
        <v>0</v>
      </c>
      <c r="Y49" s="22" t="str">
        <f>Data!AL49</f>
        <v>7037000000CC0AF3000E0100000000</v>
      </c>
      <c r="Z49" s="20">
        <f>Data!AC49</f>
        <v>0</v>
      </c>
      <c r="AA49" s="20">
        <f>Data!AE49</f>
        <v>0</v>
      </c>
      <c r="AB49" s="20">
        <f>Data!AG49</f>
        <v>0</v>
      </c>
      <c r="AC49" s="20" t="str">
        <f>CONCATENATE(Data!AI49," ",Data!AJ49)</f>
        <v xml:space="preserve"> </v>
      </c>
    </row>
    <row r="50" spans="1:29" ht="15">
      <c r="A50" s="20" t="str">
        <f>Data!A50</f>
        <v>デモ機</v>
      </c>
      <c r="B50" s="20" t="str">
        <f>Data!C50</f>
        <v>Entire Organization</v>
      </c>
      <c r="C50" s="20" t="str">
        <f>IF(Data!E50=0,"",Data!E50)</f>
        <v/>
      </c>
      <c r="D50" s="26">
        <f t="shared" si="0"/>
        <v>42065.867788460651</v>
      </c>
      <c r="E50" s="27">
        <f>Data!F50</f>
        <v>42065.867788460651</v>
      </c>
      <c r="F50" s="20" t="str">
        <f>Data!G50</f>
        <v>DebugRecord</v>
      </c>
      <c r="G50" s="20">
        <f>Data!H50</f>
        <v>0</v>
      </c>
      <c r="H50" s="20">
        <f>Data!I50</f>
        <v>0</v>
      </c>
      <c r="I50" s="20">
        <f>Data!J50</f>
        <v>0</v>
      </c>
      <c r="J50" s="21" t="str">
        <f>IF(Data!K50=0,"",Data!K50)</f>
        <v/>
      </c>
      <c r="K50" s="22">
        <f>Data!L50</f>
        <v>0</v>
      </c>
      <c r="L50" s="21" t="str">
        <f>IF(Data!N50=0,"",Data!N50)</f>
        <v>InvalidDate</v>
      </c>
      <c r="M50" s="20">
        <f>Data!O50</f>
        <v>0</v>
      </c>
      <c r="N50" s="20">
        <f>Data!P50</f>
        <v>0</v>
      </c>
      <c r="O50" s="20">
        <f>Data!Q50</f>
        <v>0</v>
      </c>
      <c r="P50" s="20">
        <f>Data!R50</f>
        <v>0</v>
      </c>
      <c r="Q50" s="20">
        <f>Data!S50</f>
        <v>0</v>
      </c>
      <c r="R50" s="20">
        <f>Data!T50</f>
        <v>0</v>
      </c>
      <c r="S50" s="20">
        <f>Data!U50</f>
        <v>0</v>
      </c>
      <c r="T50" s="20">
        <f>Data!V50</f>
        <v>0</v>
      </c>
      <c r="U50" s="20">
        <f>Data!W50</f>
        <v>0</v>
      </c>
      <c r="V50" s="20">
        <f>Data!X50</f>
        <v>0</v>
      </c>
      <c r="W50" s="20">
        <f>Data!Y50</f>
        <v>0</v>
      </c>
      <c r="X50" s="20">
        <f>Data!Z50</f>
        <v>0</v>
      </c>
      <c r="Y50" s="22" t="str">
        <f>Data!AL50</f>
        <v>7038000000CF0A25013C0100000000</v>
      </c>
      <c r="Z50" s="20">
        <f>Data!AC50</f>
        <v>0</v>
      </c>
      <c r="AA50" s="20">
        <f>Data!AE50</f>
        <v>0</v>
      </c>
      <c r="AB50" s="20">
        <f>Data!AG50</f>
        <v>0</v>
      </c>
      <c r="AC50" s="20" t="str">
        <f>CONCATENATE(Data!AI50," ",Data!AJ50)</f>
        <v xml:space="preserve"> </v>
      </c>
    </row>
    <row r="51" spans="1:29" ht="15">
      <c r="A51" s="20" t="str">
        <f>Data!A51</f>
        <v>デモ機</v>
      </c>
      <c r="B51" s="20" t="str">
        <f>Data!C51</f>
        <v>Entire Organization</v>
      </c>
      <c r="C51" s="20" t="str">
        <f>IF(Data!E51=0,"",Data!E51)</f>
        <v/>
      </c>
      <c r="D51" s="26">
        <f t="shared" si="0"/>
        <v>42065.867905092593</v>
      </c>
      <c r="E51" s="27">
        <f>Data!F51</f>
        <v>42065.867905092593</v>
      </c>
      <c r="F51" s="20" t="str">
        <f>Data!G51</f>
        <v>EngineStatusRecord</v>
      </c>
      <c r="G51" s="20">
        <f>Data!H51</f>
        <v>0</v>
      </c>
      <c r="H51" s="20">
        <f>Data!I51</f>
        <v>0</v>
      </c>
      <c r="I51" s="20">
        <f>Data!J51</f>
        <v>0</v>
      </c>
      <c r="J51" s="21" t="str">
        <f>IF(Data!K51=0,"",Data!K51)</f>
        <v/>
      </c>
      <c r="K51" s="22">
        <f>Data!L51</f>
        <v>0</v>
      </c>
      <c r="L51" s="21" t="str">
        <f>IF(Data!N51=0,"",Data!N51)</f>
        <v/>
      </c>
      <c r="M51" s="20">
        <f>Data!O51</f>
        <v>0</v>
      </c>
      <c r="N51" s="20">
        <f>Data!P51</f>
        <v>0</v>
      </c>
      <c r="O51" s="20">
        <f>Data!Q51</f>
        <v>0</v>
      </c>
      <c r="P51" s="20">
        <f>Data!R51</f>
        <v>0</v>
      </c>
      <c r="Q51" s="20">
        <f>Data!S51</f>
        <v>0</v>
      </c>
      <c r="R51" s="20">
        <f>Data!T51</f>
        <v>0</v>
      </c>
      <c r="S51" s="20">
        <f>Data!U51</f>
        <v>0</v>
      </c>
      <c r="T51" s="20">
        <f>Data!V51</f>
        <v>0</v>
      </c>
      <c r="U51" s="20">
        <f>Data!W51</f>
        <v>0</v>
      </c>
      <c r="V51" s="20">
        <f>Data!X51</f>
        <v>0</v>
      </c>
      <c r="W51" s="20">
        <f>Data!Y51</f>
        <v>0</v>
      </c>
      <c r="X51" s="20">
        <f>Data!Z51</f>
        <v>0</v>
      </c>
      <c r="Y51" s="22">
        <f>Data!AL51</f>
        <v>0</v>
      </c>
      <c r="Z51" s="20" t="str">
        <f>Data!AC51</f>
        <v>Cranking voltage</v>
      </c>
      <c r="AA51" s="20" t="str">
        <f>Data!AE51</f>
        <v/>
      </c>
      <c r="AB51" s="20">
        <f>Data!AG51</f>
        <v>0</v>
      </c>
      <c r="AC51" s="20" t="str">
        <f>CONCATENATE(Data!AI51," ",Data!AJ51)</f>
        <v>14.2542 V</v>
      </c>
    </row>
    <row r="52" spans="1:29" ht="15">
      <c r="A52" s="20" t="str">
        <f>Data!A52</f>
        <v>デモ機</v>
      </c>
      <c r="B52" s="20" t="str">
        <f>Data!C52</f>
        <v>Entire Organization</v>
      </c>
      <c r="C52" s="20" t="str">
        <f>IF(Data!E52=0,"",Data!E52)</f>
        <v/>
      </c>
      <c r="D52" s="26">
        <f t="shared" si="0"/>
        <v>42065.86790853009</v>
      </c>
      <c r="E52" s="27">
        <f>Data!F52</f>
        <v>42065.86790853009</v>
      </c>
      <c r="F52" s="20" t="str">
        <f>Data!G52</f>
        <v>EngineStatusRecord</v>
      </c>
      <c r="G52" s="20">
        <f>Data!H52</f>
        <v>0</v>
      </c>
      <c r="H52" s="20">
        <f>Data!I52</f>
        <v>0</v>
      </c>
      <c r="I52" s="20">
        <f>Data!J52</f>
        <v>0</v>
      </c>
      <c r="J52" s="21" t="str">
        <f>IF(Data!K52=0,"",Data!K52)</f>
        <v/>
      </c>
      <c r="K52" s="22">
        <f>Data!L52</f>
        <v>0</v>
      </c>
      <c r="L52" s="21" t="str">
        <f>IF(Data!N52=0,"",Data!N52)</f>
        <v/>
      </c>
      <c r="M52" s="20">
        <f>Data!O52</f>
        <v>0</v>
      </c>
      <c r="N52" s="20">
        <f>Data!P52</f>
        <v>0</v>
      </c>
      <c r="O52" s="20">
        <f>Data!Q52</f>
        <v>0</v>
      </c>
      <c r="P52" s="20">
        <f>Data!R52</f>
        <v>0</v>
      </c>
      <c r="Q52" s="20">
        <f>Data!S52</f>
        <v>0</v>
      </c>
      <c r="R52" s="20">
        <f>Data!T52</f>
        <v>0</v>
      </c>
      <c r="S52" s="20">
        <f>Data!U52</f>
        <v>0</v>
      </c>
      <c r="T52" s="20">
        <f>Data!V52</f>
        <v>0</v>
      </c>
      <c r="U52" s="20">
        <f>Data!W52</f>
        <v>0</v>
      </c>
      <c r="V52" s="20">
        <f>Data!X52</f>
        <v>0</v>
      </c>
      <c r="W52" s="20">
        <f>Data!Y52</f>
        <v>0</v>
      </c>
      <c r="X52" s="20">
        <f>Data!Z52</f>
        <v>0</v>
      </c>
      <c r="Y52" s="22">
        <f>Data!AL52</f>
        <v>0</v>
      </c>
      <c r="Z52" s="20" t="str">
        <f>Data!AC52</f>
        <v>Cranking voltage</v>
      </c>
      <c r="AA52" s="20" t="str">
        <f>Data!AE52</f>
        <v/>
      </c>
      <c r="AB52" s="20">
        <f>Data!AG52</f>
        <v>0</v>
      </c>
      <c r="AC52" s="20" t="str">
        <f>CONCATENATE(Data!AI52," ",Data!AJ52)</f>
        <v>14.00374 V</v>
      </c>
    </row>
    <row r="53" spans="1:29" ht="15">
      <c r="A53" s="20" t="str">
        <f>Data!A53</f>
        <v>デモ機</v>
      </c>
      <c r="B53" s="20" t="str">
        <f>Data!C53</f>
        <v>Entire Organization</v>
      </c>
      <c r="C53" s="20" t="str">
        <f>IF(Data!E53=0,"",Data!E53)</f>
        <v/>
      </c>
      <c r="D53" s="26">
        <f t="shared" si="0"/>
        <v>42065.867924768521</v>
      </c>
      <c r="E53" s="27">
        <f>Data!F53</f>
        <v>42065.867924768521</v>
      </c>
      <c r="F53" s="20" t="str">
        <f>Data!G53</f>
        <v>EngineStatusRecord</v>
      </c>
      <c r="G53" s="20">
        <f>Data!H53</f>
        <v>0</v>
      </c>
      <c r="H53" s="20">
        <f>Data!I53</f>
        <v>0</v>
      </c>
      <c r="I53" s="20">
        <f>Data!J53</f>
        <v>0</v>
      </c>
      <c r="J53" s="21" t="str">
        <f>IF(Data!K53=0,"",Data!K53)</f>
        <v/>
      </c>
      <c r="K53" s="22">
        <f>Data!L53</f>
        <v>0</v>
      </c>
      <c r="L53" s="21" t="str">
        <f>IF(Data!N53=0,"",Data!N53)</f>
        <v/>
      </c>
      <c r="M53" s="20">
        <f>Data!O53</f>
        <v>0</v>
      </c>
      <c r="N53" s="20">
        <f>Data!P53</f>
        <v>0</v>
      </c>
      <c r="O53" s="20">
        <f>Data!Q53</f>
        <v>0</v>
      </c>
      <c r="P53" s="20">
        <f>Data!R53</f>
        <v>0</v>
      </c>
      <c r="Q53" s="20">
        <f>Data!S53</f>
        <v>0</v>
      </c>
      <c r="R53" s="20">
        <f>Data!T53</f>
        <v>0</v>
      </c>
      <c r="S53" s="20">
        <f>Data!U53</f>
        <v>0</v>
      </c>
      <c r="T53" s="20">
        <f>Data!V53</f>
        <v>0</v>
      </c>
      <c r="U53" s="20">
        <f>Data!W53</f>
        <v>0</v>
      </c>
      <c r="V53" s="20">
        <f>Data!X53</f>
        <v>0</v>
      </c>
      <c r="W53" s="20">
        <f>Data!Y53</f>
        <v>0</v>
      </c>
      <c r="X53" s="20">
        <f>Data!Z53</f>
        <v>0</v>
      </c>
      <c r="Y53" s="22">
        <f>Data!AL53</f>
        <v>0</v>
      </c>
      <c r="Z53" s="20" t="str">
        <f>Data!AC53</f>
        <v>Cranking voltage</v>
      </c>
      <c r="AA53" s="20" t="str">
        <f>Data!AE53</f>
        <v/>
      </c>
      <c r="AB53" s="20">
        <f>Data!AG53</f>
        <v>0</v>
      </c>
      <c r="AC53" s="20" t="str">
        <f>CONCATENATE(Data!AI53," ",Data!AJ53)</f>
        <v>13.93218 V</v>
      </c>
    </row>
    <row r="54" spans="1:29" ht="15">
      <c r="A54" s="20" t="str">
        <f>Data!A54</f>
        <v>デモ機</v>
      </c>
      <c r="B54" s="20" t="str">
        <f>Data!C54</f>
        <v>Entire Organization</v>
      </c>
      <c r="C54" s="20" t="str">
        <f>IF(Data!E54=0,"",Data!E54)</f>
        <v/>
      </c>
      <c r="D54" s="26">
        <f t="shared" si="0"/>
        <v>42065.867980439813</v>
      </c>
      <c r="E54" s="27">
        <f>Data!F54</f>
        <v>42065.867980439813</v>
      </c>
      <c r="F54" s="20" t="str">
        <f>Data!G54</f>
        <v>DebugRecord</v>
      </c>
      <c r="G54" s="20">
        <f>Data!H54</f>
        <v>0</v>
      </c>
      <c r="H54" s="20">
        <f>Data!I54</f>
        <v>0</v>
      </c>
      <c r="I54" s="20">
        <f>Data!J54</f>
        <v>0</v>
      </c>
      <c r="J54" s="21" t="str">
        <f>IF(Data!K54=0,"",Data!K54)</f>
        <v/>
      </c>
      <c r="K54" s="22">
        <f>Data!L54</f>
        <v>0</v>
      </c>
      <c r="L54" s="21" t="str">
        <f>IF(Data!N54=0,"",Data!N54)</f>
        <v>InvalidDate</v>
      </c>
      <c r="M54" s="20">
        <f>Data!O54</f>
        <v>0</v>
      </c>
      <c r="N54" s="20">
        <f>Data!P54</f>
        <v>0</v>
      </c>
      <c r="O54" s="20">
        <f>Data!Q54</f>
        <v>0</v>
      </c>
      <c r="P54" s="20">
        <f>Data!R54</f>
        <v>0</v>
      </c>
      <c r="Q54" s="20">
        <f>Data!S54</f>
        <v>0</v>
      </c>
      <c r="R54" s="20">
        <f>Data!T54</f>
        <v>0</v>
      </c>
      <c r="S54" s="20">
        <f>Data!U54</f>
        <v>0</v>
      </c>
      <c r="T54" s="20">
        <f>Data!V54</f>
        <v>0</v>
      </c>
      <c r="U54" s="20">
        <f>Data!W54</f>
        <v>0</v>
      </c>
      <c r="V54" s="20">
        <f>Data!X54</f>
        <v>0</v>
      </c>
      <c r="W54" s="20">
        <f>Data!Y54</f>
        <v>0</v>
      </c>
      <c r="X54" s="20">
        <f>Data!Z54</f>
        <v>0</v>
      </c>
      <c r="Y54" s="22" t="str">
        <f>Data!AL54</f>
        <v>6F490000000663C308000000000000</v>
      </c>
      <c r="Z54" s="20">
        <f>Data!AC54</f>
        <v>0</v>
      </c>
      <c r="AA54" s="20">
        <f>Data!AE54</f>
        <v>0</v>
      </c>
      <c r="AB54" s="20">
        <f>Data!AG54</f>
        <v>0</v>
      </c>
      <c r="AC54" s="20" t="str">
        <f>CONCATENATE(Data!AI54," ",Data!AJ54)</f>
        <v xml:space="preserve"> </v>
      </c>
    </row>
    <row r="55" spans="1:29" ht="15">
      <c r="A55" s="20" t="str">
        <f>Data!A55</f>
        <v>デモ機</v>
      </c>
      <c r="B55" s="20" t="str">
        <f>Data!C55</f>
        <v>Entire Organization</v>
      </c>
      <c r="C55" s="20" t="str">
        <f>IF(Data!E55=0,"",Data!E55)</f>
        <v/>
      </c>
      <c r="D55" s="26">
        <f t="shared" si="0"/>
        <v>42065.867980439813</v>
      </c>
      <c r="E55" s="27">
        <f>Data!F55</f>
        <v>42065.867980439813</v>
      </c>
      <c r="F55" s="20" t="str">
        <f>Data!G55</f>
        <v>DebugRecord</v>
      </c>
      <c r="G55" s="20">
        <f>Data!H55</f>
        <v>0</v>
      </c>
      <c r="H55" s="20">
        <f>Data!I55</f>
        <v>0</v>
      </c>
      <c r="I55" s="20">
        <f>Data!J55</f>
        <v>0</v>
      </c>
      <c r="J55" s="21" t="str">
        <f>IF(Data!K55=0,"",Data!K55)</f>
        <v/>
      </c>
      <c r="K55" s="22">
        <f>Data!L55</f>
        <v>0</v>
      </c>
      <c r="L55" s="21" t="str">
        <f>IF(Data!N55=0,"",Data!N55)</f>
        <v>InvalidDate</v>
      </c>
      <c r="M55" s="20">
        <f>Data!O55</f>
        <v>0</v>
      </c>
      <c r="N55" s="20">
        <f>Data!P55</f>
        <v>0</v>
      </c>
      <c r="O55" s="20">
        <f>Data!Q55</f>
        <v>0</v>
      </c>
      <c r="P55" s="20">
        <f>Data!R55</f>
        <v>0</v>
      </c>
      <c r="Q55" s="20">
        <f>Data!S55</f>
        <v>0</v>
      </c>
      <c r="R55" s="20">
        <f>Data!T55</f>
        <v>0</v>
      </c>
      <c r="S55" s="20">
        <f>Data!U55</f>
        <v>0</v>
      </c>
      <c r="T55" s="20">
        <f>Data!V55</f>
        <v>0</v>
      </c>
      <c r="U55" s="20">
        <f>Data!W55</f>
        <v>0</v>
      </c>
      <c r="V55" s="20">
        <f>Data!X55</f>
        <v>0</v>
      </c>
      <c r="W55" s="20">
        <f>Data!Y55</f>
        <v>0</v>
      </c>
      <c r="X55" s="20">
        <f>Data!Z55</f>
        <v>0</v>
      </c>
      <c r="Y55" s="22" t="str">
        <f>Data!AL55</f>
        <v>204900000057331568155321000600</v>
      </c>
      <c r="Z55" s="20">
        <f>Data!AC55</f>
        <v>0</v>
      </c>
      <c r="AA55" s="20">
        <f>Data!AE55</f>
        <v>0</v>
      </c>
      <c r="AB55" s="20">
        <f>Data!AG55</f>
        <v>0</v>
      </c>
      <c r="AC55" s="20" t="str">
        <f>CONCATENATE(Data!AI55," ",Data!AJ55)</f>
        <v xml:space="preserve"> </v>
      </c>
    </row>
    <row r="56" spans="1:29" ht="15">
      <c r="A56" s="20" t="str">
        <f>Data!A56</f>
        <v>デモ機</v>
      </c>
      <c r="B56" s="20" t="str">
        <f>Data!C56</f>
        <v>Entire Organization</v>
      </c>
      <c r="C56" s="20" t="str">
        <f>IF(Data!E56=0,"",Data!E56)</f>
        <v/>
      </c>
      <c r="D56" s="26">
        <f t="shared" si="0"/>
        <v>42065.867980439813</v>
      </c>
      <c r="E56" s="27">
        <f>Data!F56</f>
        <v>42065.867980439813</v>
      </c>
      <c r="F56" s="20" t="str">
        <f>Data!G56</f>
        <v>DebugRecord</v>
      </c>
      <c r="G56" s="20">
        <f>Data!H56</f>
        <v>0</v>
      </c>
      <c r="H56" s="20">
        <f>Data!I56</f>
        <v>0</v>
      </c>
      <c r="I56" s="20">
        <f>Data!J56</f>
        <v>0</v>
      </c>
      <c r="J56" s="21" t="str">
        <f>IF(Data!K56=0,"",Data!K56)</f>
        <v/>
      </c>
      <c r="K56" s="22">
        <f>Data!L56</f>
        <v>0</v>
      </c>
      <c r="L56" s="21" t="str">
        <f>IF(Data!N56=0,"",Data!N56)</f>
        <v>InvalidDate</v>
      </c>
      <c r="M56" s="20">
        <f>Data!O56</f>
        <v>0</v>
      </c>
      <c r="N56" s="20">
        <f>Data!P56</f>
        <v>0</v>
      </c>
      <c r="O56" s="20">
        <f>Data!Q56</f>
        <v>0</v>
      </c>
      <c r="P56" s="20">
        <f>Data!R56</f>
        <v>0</v>
      </c>
      <c r="Q56" s="20">
        <f>Data!S56</f>
        <v>0</v>
      </c>
      <c r="R56" s="20">
        <f>Data!T56</f>
        <v>0</v>
      </c>
      <c r="S56" s="20">
        <f>Data!U56</f>
        <v>0</v>
      </c>
      <c r="T56" s="20">
        <f>Data!V56</f>
        <v>0</v>
      </c>
      <c r="U56" s="20">
        <f>Data!W56</f>
        <v>0</v>
      </c>
      <c r="V56" s="20">
        <f>Data!X56</f>
        <v>0</v>
      </c>
      <c r="W56" s="20">
        <f>Data!Y56</f>
        <v>0</v>
      </c>
      <c r="X56" s="20">
        <f>Data!Z56</f>
        <v>0</v>
      </c>
      <c r="Y56" s="22" t="str">
        <f>Data!AL56</f>
        <v>2D4900000006940801010000000000</v>
      </c>
      <c r="Z56" s="20">
        <f>Data!AC56</f>
        <v>0</v>
      </c>
      <c r="AA56" s="20">
        <f>Data!AE56</f>
        <v>0</v>
      </c>
      <c r="AB56" s="20">
        <f>Data!AG56</f>
        <v>0</v>
      </c>
      <c r="AC56" s="20" t="str">
        <f>CONCATENATE(Data!AI56," ",Data!AJ56)</f>
        <v xml:space="preserve"> </v>
      </c>
    </row>
    <row r="57" spans="1:29" ht="15">
      <c r="A57" s="20" t="str">
        <f>Data!A57</f>
        <v>デモ機</v>
      </c>
      <c r="B57" s="20" t="str">
        <f>Data!C57</f>
        <v>Entire Organization</v>
      </c>
      <c r="C57" s="20" t="str">
        <f>IF(Data!E57=0,"",Data!E57)</f>
        <v/>
      </c>
      <c r="D57" s="26">
        <f t="shared" si="0"/>
        <v>42065.867980439813</v>
      </c>
      <c r="E57" s="27">
        <f>Data!F57</f>
        <v>42065.867980439813</v>
      </c>
      <c r="F57" s="20" t="str">
        <f>Data!G57</f>
        <v>DebugRecord</v>
      </c>
      <c r="G57" s="20">
        <f>Data!H57</f>
        <v>0</v>
      </c>
      <c r="H57" s="20">
        <f>Data!I57</f>
        <v>0</v>
      </c>
      <c r="I57" s="20">
        <f>Data!J57</f>
        <v>0</v>
      </c>
      <c r="J57" s="21" t="str">
        <f>IF(Data!K57=0,"",Data!K57)</f>
        <v/>
      </c>
      <c r="K57" s="22">
        <f>Data!L57</f>
        <v>0</v>
      </c>
      <c r="L57" s="21" t="str">
        <f>IF(Data!N57=0,"",Data!N57)</f>
        <v>InvalidDate</v>
      </c>
      <c r="M57" s="20">
        <f>Data!O57</f>
        <v>0</v>
      </c>
      <c r="N57" s="20">
        <f>Data!P57</f>
        <v>0</v>
      </c>
      <c r="O57" s="20">
        <f>Data!Q57</f>
        <v>0</v>
      </c>
      <c r="P57" s="20">
        <f>Data!R57</f>
        <v>0</v>
      </c>
      <c r="Q57" s="20">
        <f>Data!S57</f>
        <v>0</v>
      </c>
      <c r="R57" s="20">
        <f>Data!T57</f>
        <v>0</v>
      </c>
      <c r="S57" s="20">
        <f>Data!U57</f>
        <v>0</v>
      </c>
      <c r="T57" s="20">
        <f>Data!V57</f>
        <v>0</v>
      </c>
      <c r="U57" s="20">
        <f>Data!W57</f>
        <v>0</v>
      </c>
      <c r="V57" s="20">
        <f>Data!X57</f>
        <v>0</v>
      </c>
      <c r="W57" s="20">
        <f>Data!Y57</f>
        <v>0</v>
      </c>
      <c r="X57" s="20">
        <f>Data!Z57</f>
        <v>0</v>
      </c>
      <c r="Y57" s="22" t="str">
        <f>Data!AL57</f>
        <v>2D4900000006140001010000000000</v>
      </c>
      <c r="Z57" s="20">
        <f>Data!AC57</f>
        <v>0</v>
      </c>
      <c r="AA57" s="20">
        <f>Data!AE57</f>
        <v>0</v>
      </c>
      <c r="AB57" s="20">
        <f>Data!AG57</f>
        <v>0</v>
      </c>
      <c r="AC57" s="20" t="str">
        <f>CONCATENATE(Data!AI57," ",Data!AJ57)</f>
        <v xml:space="preserve"> </v>
      </c>
    </row>
    <row r="58" spans="1:29" ht="15">
      <c r="A58" s="20" t="str">
        <f>Data!A58</f>
        <v>デモ機</v>
      </c>
      <c r="B58" s="20" t="str">
        <f>Data!C58</f>
        <v>Entire Organization</v>
      </c>
      <c r="C58" s="20" t="str">
        <f>IF(Data!E58=0,"",Data!E58)</f>
        <v/>
      </c>
      <c r="D58" s="26">
        <f t="shared" si="0"/>
        <v>42065.867980439813</v>
      </c>
      <c r="E58" s="27">
        <f>Data!F58</f>
        <v>42065.867980439813</v>
      </c>
      <c r="F58" s="20" t="str">
        <f>Data!G58</f>
        <v>DebugRecord</v>
      </c>
      <c r="G58" s="20">
        <f>Data!H58</f>
        <v>0</v>
      </c>
      <c r="H58" s="20">
        <f>Data!I58</f>
        <v>0</v>
      </c>
      <c r="I58" s="20">
        <f>Data!J58</f>
        <v>0</v>
      </c>
      <c r="J58" s="21" t="str">
        <f>IF(Data!K58=0,"",Data!K58)</f>
        <v/>
      </c>
      <c r="K58" s="22">
        <f>Data!L58</f>
        <v>0</v>
      </c>
      <c r="L58" s="21" t="str">
        <f>IF(Data!N58=0,"",Data!N58)</f>
        <v>InvalidDate</v>
      </c>
      <c r="M58" s="20">
        <f>Data!O58</f>
        <v>0</v>
      </c>
      <c r="N58" s="20">
        <f>Data!P58</f>
        <v>0</v>
      </c>
      <c r="O58" s="20">
        <f>Data!Q58</f>
        <v>0</v>
      </c>
      <c r="P58" s="20">
        <f>Data!R58</f>
        <v>0</v>
      </c>
      <c r="Q58" s="20">
        <f>Data!S58</f>
        <v>0</v>
      </c>
      <c r="R58" s="20">
        <f>Data!T58</f>
        <v>0</v>
      </c>
      <c r="S58" s="20">
        <f>Data!U58</f>
        <v>0</v>
      </c>
      <c r="T58" s="20">
        <f>Data!V58</f>
        <v>0</v>
      </c>
      <c r="U58" s="20">
        <f>Data!W58</f>
        <v>0</v>
      </c>
      <c r="V58" s="20">
        <f>Data!X58</f>
        <v>0</v>
      </c>
      <c r="W58" s="20">
        <f>Data!Y58</f>
        <v>0</v>
      </c>
      <c r="X58" s="20">
        <f>Data!Z58</f>
        <v>0</v>
      </c>
      <c r="Y58" s="22" t="str">
        <f>Data!AL58</f>
        <v>7049000000005FBC18000000000000</v>
      </c>
      <c r="Z58" s="20">
        <f>Data!AC58</f>
        <v>0</v>
      </c>
      <c r="AA58" s="20">
        <f>Data!AE58</f>
        <v>0</v>
      </c>
      <c r="AB58" s="20">
        <f>Data!AG58</f>
        <v>0</v>
      </c>
      <c r="AC58" s="20" t="str">
        <f>CONCATENATE(Data!AI58," ",Data!AJ58)</f>
        <v xml:space="preserve"> </v>
      </c>
    </row>
    <row r="59" spans="1:29" ht="15">
      <c r="A59" s="20" t="str">
        <f>Data!A59</f>
        <v>デモ機</v>
      </c>
      <c r="B59" s="20" t="str">
        <f>Data!C59</f>
        <v>Entire Organization</v>
      </c>
      <c r="C59" s="20" t="str">
        <f>IF(Data!E59=0,"",Data!E59)</f>
        <v/>
      </c>
      <c r="D59" s="26">
        <f t="shared" si="0"/>
        <v>42065.867980439813</v>
      </c>
      <c r="E59" s="27">
        <f>Data!F59</f>
        <v>42065.867980439813</v>
      </c>
      <c r="F59" s="20" t="str">
        <f>Data!G59</f>
        <v>DebugRecord</v>
      </c>
      <c r="G59" s="20">
        <f>Data!H59</f>
        <v>0</v>
      </c>
      <c r="H59" s="20">
        <f>Data!I59</f>
        <v>0</v>
      </c>
      <c r="I59" s="20">
        <f>Data!J59</f>
        <v>0</v>
      </c>
      <c r="J59" s="21" t="str">
        <f>IF(Data!K59=0,"",Data!K59)</f>
        <v/>
      </c>
      <c r="K59" s="22">
        <f>Data!L59</f>
        <v>0</v>
      </c>
      <c r="L59" s="21" t="str">
        <f>IF(Data!N59=0,"",Data!N59)</f>
        <v>InvalidDate</v>
      </c>
      <c r="M59" s="20">
        <f>Data!O59</f>
        <v>0</v>
      </c>
      <c r="N59" s="20">
        <f>Data!P59</f>
        <v>0</v>
      </c>
      <c r="O59" s="20">
        <f>Data!Q59</f>
        <v>0</v>
      </c>
      <c r="P59" s="20">
        <f>Data!R59</f>
        <v>0</v>
      </c>
      <c r="Q59" s="20">
        <f>Data!S59</f>
        <v>0</v>
      </c>
      <c r="R59" s="20">
        <f>Data!T59</f>
        <v>0</v>
      </c>
      <c r="S59" s="20">
        <f>Data!U59</f>
        <v>0</v>
      </c>
      <c r="T59" s="20">
        <f>Data!V59</f>
        <v>0</v>
      </c>
      <c r="U59" s="20">
        <f>Data!W59</f>
        <v>0</v>
      </c>
      <c r="V59" s="20">
        <f>Data!X59</f>
        <v>0</v>
      </c>
      <c r="W59" s="20">
        <f>Data!Y59</f>
        <v>0</v>
      </c>
      <c r="X59" s="20">
        <f>Data!Z59</f>
        <v>0</v>
      </c>
      <c r="Y59" s="22" t="str">
        <f>Data!AL59</f>
        <v>7049000000004E0000000000000000</v>
      </c>
      <c r="Z59" s="20">
        <f>Data!AC59</f>
        <v>0</v>
      </c>
      <c r="AA59" s="20">
        <f>Data!AE59</f>
        <v>0</v>
      </c>
      <c r="AB59" s="20">
        <f>Data!AG59</f>
        <v>0</v>
      </c>
      <c r="AC59" s="20" t="str">
        <f>CONCATENATE(Data!AI59," ",Data!AJ59)</f>
        <v xml:space="preserve"> </v>
      </c>
    </row>
    <row r="60" spans="1:29" ht="15">
      <c r="A60" s="20" t="str">
        <f>Data!A60</f>
        <v>デモ機</v>
      </c>
      <c r="B60" s="20" t="str">
        <f>Data!C60</f>
        <v>Entire Organization</v>
      </c>
      <c r="C60" s="20" t="str">
        <f>IF(Data!E60=0,"",Data!E60)</f>
        <v/>
      </c>
      <c r="D60" s="26">
        <f t="shared" si="0"/>
        <v>42065.867980439813</v>
      </c>
      <c r="E60" s="27">
        <f>Data!F60</f>
        <v>42065.867980439813</v>
      </c>
      <c r="F60" s="20" t="str">
        <f>Data!G60</f>
        <v>DebugRecord</v>
      </c>
      <c r="G60" s="20">
        <f>Data!H60</f>
        <v>0</v>
      </c>
      <c r="H60" s="20">
        <f>Data!I60</f>
        <v>0</v>
      </c>
      <c r="I60" s="20">
        <f>Data!J60</f>
        <v>0</v>
      </c>
      <c r="J60" s="21" t="str">
        <f>IF(Data!K60=0,"",Data!K60)</f>
        <v/>
      </c>
      <c r="K60" s="22">
        <f>Data!L60</f>
        <v>0</v>
      </c>
      <c r="L60" s="21" t="str">
        <f>IF(Data!N60=0,"",Data!N60)</f>
        <v>InvalidDate</v>
      </c>
      <c r="M60" s="20">
        <f>Data!O60</f>
        <v>0</v>
      </c>
      <c r="N60" s="20">
        <f>Data!P60</f>
        <v>0</v>
      </c>
      <c r="O60" s="20">
        <f>Data!Q60</f>
        <v>0</v>
      </c>
      <c r="P60" s="20">
        <f>Data!R60</f>
        <v>0</v>
      </c>
      <c r="Q60" s="20">
        <f>Data!S60</f>
        <v>0</v>
      </c>
      <c r="R60" s="20">
        <f>Data!T60</f>
        <v>0</v>
      </c>
      <c r="S60" s="20">
        <f>Data!U60</f>
        <v>0</v>
      </c>
      <c r="T60" s="20">
        <f>Data!V60</f>
        <v>0</v>
      </c>
      <c r="U60" s="20">
        <f>Data!W60</f>
        <v>0</v>
      </c>
      <c r="V60" s="20">
        <f>Data!X60</f>
        <v>0</v>
      </c>
      <c r="W60" s="20">
        <f>Data!Y60</f>
        <v>0</v>
      </c>
      <c r="X60" s="20">
        <f>Data!Z60</f>
        <v>0</v>
      </c>
      <c r="Y60" s="22" t="str">
        <f>Data!AL60</f>
        <v>6F49000000006AEB0B160000000000</v>
      </c>
      <c r="Z60" s="20">
        <f>Data!AC60</f>
        <v>0</v>
      </c>
      <c r="AA60" s="20">
        <f>Data!AE60</f>
        <v>0</v>
      </c>
      <c r="AB60" s="20">
        <f>Data!AG60</f>
        <v>0</v>
      </c>
      <c r="AC60" s="20" t="str">
        <f>CONCATENATE(Data!AI60," ",Data!AJ60)</f>
        <v xml:space="preserve"> </v>
      </c>
    </row>
    <row r="61" spans="1:29" ht="15">
      <c r="A61" s="20" t="str">
        <f>Data!A61</f>
        <v>デモ機</v>
      </c>
      <c r="B61" s="20" t="str">
        <f>Data!C61</f>
        <v>Entire Organization</v>
      </c>
      <c r="C61" s="20" t="str">
        <f>IF(Data!E61=0,"",Data!E61)</f>
        <v/>
      </c>
      <c r="D61" s="26">
        <f t="shared" si="0"/>
        <v>42065.867980439813</v>
      </c>
      <c r="E61" s="27">
        <f>Data!F61</f>
        <v>42065.867980439813</v>
      </c>
      <c r="F61" s="20" t="str">
        <f>Data!G61</f>
        <v>DebugRecord</v>
      </c>
      <c r="G61" s="20">
        <f>Data!H61</f>
        <v>0</v>
      </c>
      <c r="H61" s="20">
        <f>Data!I61</f>
        <v>0</v>
      </c>
      <c r="I61" s="20">
        <f>Data!J61</f>
        <v>0</v>
      </c>
      <c r="J61" s="21" t="str">
        <f>IF(Data!K61=0,"",Data!K61)</f>
        <v/>
      </c>
      <c r="K61" s="22">
        <f>Data!L61</f>
        <v>0</v>
      </c>
      <c r="L61" s="21" t="str">
        <f>IF(Data!N61=0,"",Data!N61)</f>
        <v>InvalidDate</v>
      </c>
      <c r="M61" s="20">
        <f>Data!O61</f>
        <v>0</v>
      </c>
      <c r="N61" s="20">
        <f>Data!P61</f>
        <v>0</v>
      </c>
      <c r="O61" s="20">
        <f>Data!Q61</f>
        <v>0</v>
      </c>
      <c r="P61" s="20">
        <f>Data!R61</f>
        <v>0</v>
      </c>
      <c r="Q61" s="20">
        <f>Data!S61</f>
        <v>0</v>
      </c>
      <c r="R61" s="20">
        <f>Data!T61</f>
        <v>0</v>
      </c>
      <c r="S61" s="20">
        <f>Data!U61</f>
        <v>0</v>
      </c>
      <c r="T61" s="20">
        <f>Data!V61</f>
        <v>0</v>
      </c>
      <c r="U61" s="20">
        <f>Data!W61</f>
        <v>0</v>
      </c>
      <c r="V61" s="20">
        <f>Data!X61</f>
        <v>0</v>
      </c>
      <c r="W61" s="20">
        <f>Data!Y61</f>
        <v>0</v>
      </c>
      <c r="X61" s="20">
        <f>Data!Z61</f>
        <v>0</v>
      </c>
      <c r="Y61" s="22" t="str">
        <f>Data!AL61</f>
        <v>2347000000667C0113010000000000</v>
      </c>
      <c r="Z61" s="20">
        <f>Data!AC61</f>
        <v>0</v>
      </c>
      <c r="AA61" s="20">
        <f>Data!AE61</f>
        <v>0</v>
      </c>
      <c r="AB61" s="20">
        <f>Data!AG61</f>
        <v>0</v>
      </c>
      <c r="AC61" s="20" t="str">
        <f>CONCATENATE(Data!AI61," ",Data!AJ61)</f>
        <v xml:space="preserve"> </v>
      </c>
    </row>
    <row r="62" spans="1:29" ht="15">
      <c r="A62" s="20" t="str">
        <f>Data!A62</f>
        <v>デモ機</v>
      </c>
      <c r="B62" s="20" t="str">
        <f>Data!C62</f>
        <v>Entire Organization</v>
      </c>
      <c r="C62" s="20" t="str">
        <f>IF(Data!E62=0,"",Data!E62)</f>
        <v/>
      </c>
      <c r="D62" s="26">
        <f t="shared" si="0"/>
        <v>42065.867980439813</v>
      </c>
      <c r="E62" s="27">
        <f>Data!F62</f>
        <v>42065.867980439813</v>
      </c>
      <c r="F62" s="20" t="str">
        <f>Data!G62</f>
        <v>DebugRecord</v>
      </c>
      <c r="G62" s="20">
        <f>Data!H62</f>
        <v>0</v>
      </c>
      <c r="H62" s="20">
        <f>Data!I62</f>
        <v>0</v>
      </c>
      <c r="I62" s="20">
        <f>Data!J62</f>
        <v>0</v>
      </c>
      <c r="J62" s="21" t="str">
        <f>IF(Data!K62=0,"",Data!K62)</f>
        <v/>
      </c>
      <c r="K62" s="22">
        <f>Data!L62</f>
        <v>0</v>
      </c>
      <c r="L62" s="21" t="str">
        <f>IF(Data!N62=0,"",Data!N62)</f>
        <v>InvalidDate</v>
      </c>
      <c r="M62" s="20">
        <f>Data!O62</f>
        <v>0</v>
      </c>
      <c r="N62" s="20">
        <f>Data!P62</f>
        <v>0</v>
      </c>
      <c r="O62" s="20">
        <f>Data!Q62</f>
        <v>0</v>
      </c>
      <c r="P62" s="20">
        <f>Data!R62</f>
        <v>0</v>
      </c>
      <c r="Q62" s="20">
        <f>Data!S62</f>
        <v>0</v>
      </c>
      <c r="R62" s="20">
        <f>Data!T62</f>
        <v>0</v>
      </c>
      <c r="S62" s="20">
        <f>Data!U62</f>
        <v>0</v>
      </c>
      <c r="T62" s="20">
        <f>Data!V62</f>
        <v>0</v>
      </c>
      <c r="U62" s="20">
        <f>Data!W62</f>
        <v>0</v>
      </c>
      <c r="V62" s="20">
        <f>Data!X62</f>
        <v>0</v>
      </c>
      <c r="W62" s="20">
        <f>Data!Y62</f>
        <v>0</v>
      </c>
      <c r="X62" s="20">
        <f>Data!Z62</f>
        <v>0</v>
      </c>
      <c r="Y62" s="22" t="str">
        <f>Data!AL62</f>
        <v>6F43000000023EEB13010000000000</v>
      </c>
      <c r="Z62" s="20">
        <f>Data!AC62</f>
        <v>0</v>
      </c>
      <c r="AA62" s="20">
        <f>Data!AE62</f>
        <v>0</v>
      </c>
      <c r="AB62" s="20">
        <f>Data!AG62</f>
        <v>0</v>
      </c>
      <c r="AC62" s="20" t="str">
        <f>CONCATENATE(Data!AI62," ",Data!AJ62)</f>
        <v xml:space="preserve"> </v>
      </c>
    </row>
    <row r="63" spans="1:29" ht="15">
      <c r="A63" s="20" t="str">
        <f>Data!A63</f>
        <v>デモ機</v>
      </c>
      <c r="B63" s="20" t="str">
        <f>Data!C63</f>
        <v>Entire Organization</v>
      </c>
      <c r="C63" s="20" t="str">
        <f>IF(Data!E63=0,"",Data!E63)</f>
        <v/>
      </c>
      <c r="D63" s="26">
        <f t="shared" si="0"/>
        <v>42065.867980439813</v>
      </c>
      <c r="E63" s="27">
        <f>Data!F63</f>
        <v>42065.867980439813</v>
      </c>
      <c r="F63" s="20" t="str">
        <f>Data!G63</f>
        <v>DebugRecord</v>
      </c>
      <c r="G63" s="20">
        <f>Data!H63</f>
        <v>0</v>
      </c>
      <c r="H63" s="20">
        <f>Data!I63</f>
        <v>0</v>
      </c>
      <c r="I63" s="20">
        <f>Data!J63</f>
        <v>0</v>
      </c>
      <c r="J63" s="21" t="str">
        <f>IF(Data!K63=0,"",Data!K63)</f>
        <v/>
      </c>
      <c r="K63" s="22">
        <f>Data!L63</f>
        <v>0</v>
      </c>
      <c r="L63" s="21" t="str">
        <f>IF(Data!N63=0,"",Data!N63)</f>
        <v>InvalidDate</v>
      </c>
      <c r="M63" s="20">
        <f>Data!O63</f>
        <v>0</v>
      </c>
      <c r="N63" s="20">
        <f>Data!P63</f>
        <v>0</v>
      </c>
      <c r="O63" s="20">
        <f>Data!Q63</f>
        <v>0</v>
      </c>
      <c r="P63" s="20">
        <f>Data!R63</f>
        <v>0</v>
      </c>
      <c r="Q63" s="20">
        <f>Data!S63</f>
        <v>0</v>
      </c>
      <c r="R63" s="20">
        <f>Data!T63</f>
        <v>0</v>
      </c>
      <c r="S63" s="20">
        <f>Data!U63</f>
        <v>0</v>
      </c>
      <c r="T63" s="20">
        <f>Data!V63</f>
        <v>0</v>
      </c>
      <c r="U63" s="20">
        <f>Data!W63</f>
        <v>0</v>
      </c>
      <c r="V63" s="20">
        <f>Data!X63</f>
        <v>0</v>
      </c>
      <c r="W63" s="20">
        <f>Data!Y63</f>
        <v>0</v>
      </c>
      <c r="X63" s="20">
        <f>Data!Z63</f>
        <v>0</v>
      </c>
      <c r="Y63" s="22" t="str">
        <f>Data!AL63</f>
        <v>233D00000066450101460100000000</v>
      </c>
      <c r="Z63" s="20">
        <f>Data!AC63</f>
        <v>0</v>
      </c>
      <c r="AA63" s="20">
        <f>Data!AE63</f>
        <v>0</v>
      </c>
      <c r="AB63" s="20">
        <f>Data!AG63</f>
        <v>0</v>
      </c>
      <c r="AC63" s="20" t="str">
        <f>CONCATENATE(Data!AI63," ",Data!AJ63)</f>
        <v xml:space="preserve"> </v>
      </c>
    </row>
    <row r="64" spans="1:29" ht="15">
      <c r="A64" s="20" t="str">
        <f>Data!A64</f>
        <v>デモ機</v>
      </c>
      <c r="B64" s="20" t="str">
        <f>Data!C64</f>
        <v>Entire Organization</v>
      </c>
      <c r="C64" s="20" t="str">
        <f>IF(Data!E64=0,"",Data!E64)</f>
        <v/>
      </c>
      <c r="D64" s="26">
        <f t="shared" si="0"/>
        <v>42065.867980439813</v>
      </c>
      <c r="E64" s="27">
        <f>Data!F64</f>
        <v>42065.867980439813</v>
      </c>
      <c r="F64" s="20" t="str">
        <f>Data!G64</f>
        <v>DebugRecord</v>
      </c>
      <c r="G64" s="20">
        <f>Data!H64</f>
        <v>0</v>
      </c>
      <c r="H64" s="20">
        <f>Data!I64</f>
        <v>0</v>
      </c>
      <c r="I64" s="20">
        <f>Data!J64</f>
        <v>0</v>
      </c>
      <c r="J64" s="21" t="str">
        <f>IF(Data!K64=0,"",Data!K64)</f>
        <v/>
      </c>
      <c r="K64" s="22">
        <f>Data!L64</f>
        <v>0</v>
      </c>
      <c r="L64" s="21" t="str">
        <f>IF(Data!N64=0,"",Data!N64)</f>
        <v>InvalidDate</v>
      </c>
      <c r="M64" s="20">
        <f>Data!O64</f>
        <v>0</v>
      </c>
      <c r="N64" s="20">
        <f>Data!P64</f>
        <v>0</v>
      </c>
      <c r="O64" s="20">
        <f>Data!Q64</f>
        <v>0</v>
      </c>
      <c r="P64" s="20">
        <f>Data!R64</f>
        <v>0</v>
      </c>
      <c r="Q64" s="20">
        <f>Data!S64</f>
        <v>0</v>
      </c>
      <c r="R64" s="20">
        <f>Data!T64</f>
        <v>0</v>
      </c>
      <c r="S64" s="20">
        <f>Data!U64</f>
        <v>0</v>
      </c>
      <c r="T64" s="20">
        <f>Data!V64</f>
        <v>0</v>
      </c>
      <c r="U64" s="20">
        <f>Data!W64</f>
        <v>0</v>
      </c>
      <c r="V64" s="20">
        <f>Data!X64</f>
        <v>0</v>
      </c>
      <c r="W64" s="20">
        <f>Data!Y64</f>
        <v>0</v>
      </c>
      <c r="X64" s="20">
        <f>Data!Z64</f>
        <v>0</v>
      </c>
      <c r="Y64" s="22" t="str">
        <f>Data!AL64</f>
        <v>703C000000E60A5801460100000000</v>
      </c>
      <c r="Z64" s="20">
        <f>Data!AC64</f>
        <v>0</v>
      </c>
      <c r="AA64" s="20">
        <f>Data!AE64</f>
        <v>0</v>
      </c>
      <c r="AB64" s="20">
        <f>Data!AG64</f>
        <v>0</v>
      </c>
      <c r="AC64" s="20" t="str">
        <f>CONCATENATE(Data!AI64," ",Data!AJ64)</f>
        <v xml:space="preserve"> </v>
      </c>
    </row>
    <row r="65" spans="1:29" ht="15">
      <c r="A65" s="20" t="str">
        <f>Data!A65</f>
        <v>デモ機</v>
      </c>
      <c r="B65" s="20" t="str">
        <f>Data!C65</f>
        <v>Entire Organization</v>
      </c>
      <c r="C65" s="20" t="str">
        <f>IF(Data!E65=0,"",Data!E65)</f>
        <v/>
      </c>
      <c r="D65" s="26">
        <f t="shared" si="0"/>
        <v>42065.867980439813</v>
      </c>
      <c r="E65" s="27">
        <f>Data!F65</f>
        <v>42065.867980439813</v>
      </c>
      <c r="F65" s="20" t="str">
        <f>Data!G65</f>
        <v>DebugRecord</v>
      </c>
      <c r="G65" s="20">
        <f>Data!H65</f>
        <v>0</v>
      </c>
      <c r="H65" s="20">
        <f>Data!I65</f>
        <v>0</v>
      </c>
      <c r="I65" s="20">
        <f>Data!J65</f>
        <v>0</v>
      </c>
      <c r="J65" s="21" t="str">
        <f>IF(Data!K65=0,"",Data!K65)</f>
        <v/>
      </c>
      <c r="K65" s="22">
        <f>Data!L65</f>
        <v>0</v>
      </c>
      <c r="L65" s="21" t="str">
        <f>IF(Data!N65=0,"",Data!N65)</f>
        <v>InvalidDate</v>
      </c>
      <c r="M65" s="20">
        <f>Data!O65</f>
        <v>0</v>
      </c>
      <c r="N65" s="20">
        <f>Data!P65</f>
        <v>0</v>
      </c>
      <c r="O65" s="20">
        <f>Data!Q65</f>
        <v>0</v>
      </c>
      <c r="P65" s="20">
        <f>Data!R65</f>
        <v>0</v>
      </c>
      <c r="Q65" s="20">
        <f>Data!S65</f>
        <v>0</v>
      </c>
      <c r="R65" s="20">
        <f>Data!T65</f>
        <v>0</v>
      </c>
      <c r="S65" s="20">
        <f>Data!U65</f>
        <v>0</v>
      </c>
      <c r="T65" s="20">
        <f>Data!V65</f>
        <v>0</v>
      </c>
      <c r="U65" s="20">
        <f>Data!W65</f>
        <v>0</v>
      </c>
      <c r="V65" s="20">
        <f>Data!X65</f>
        <v>0</v>
      </c>
      <c r="W65" s="20">
        <f>Data!Y65</f>
        <v>0</v>
      </c>
      <c r="X65" s="20">
        <f>Data!Z65</f>
        <v>0</v>
      </c>
      <c r="Y65" s="22" t="str">
        <f>Data!AL65</f>
        <v>704900000006300600000000000000</v>
      </c>
      <c r="Z65" s="20">
        <f>Data!AC65</f>
        <v>0</v>
      </c>
      <c r="AA65" s="20">
        <f>Data!AE65</f>
        <v>0</v>
      </c>
      <c r="AB65" s="20">
        <f>Data!AG65</f>
        <v>0</v>
      </c>
      <c r="AC65" s="20" t="str">
        <f>CONCATENATE(Data!AI65," ",Data!AJ65)</f>
        <v xml:space="preserve"> </v>
      </c>
    </row>
    <row r="66" spans="1:29" ht="15">
      <c r="A66" s="20" t="str">
        <f>Data!A66</f>
        <v>デモ機</v>
      </c>
      <c r="B66" s="20" t="str">
        <f>Data!C66</f>
        <v>Entire Organization</v>
      </c>
      <c r="C66" s="20" t="str">
        <f>IF(Data!E66=0,"",Data!E66)</f>
        <v/>
      </c>
      <c r="D66" s="26">
        <f t="shared" si="0"/>
        <v>42065.867986111109</v>
      </c>
      <c r="E66" s="27">
        <f>Data!F66</f>
        <v>42065.867986111109</v>
      </c>
      <c r="F66" s="20" t="str">
        <f>Data!G66</f>
        <v>EngineStatusRecord</v>
      </c>
      <c r="G66" s="20">
        <f>Data!H66</f>
        <v>0</v>
      </c>
      <c r="H66" s="20">
        <f>Data!I66</f>
        <v>0</v>
      </c>
      <c r="I66" s="20">
        <f>Data!J66</f>
        <v>0</v>
      </c>
      <c r="J66" s="21" t="str">
        <f>IF(Data!K66=0,"",Data!K66)</f>
        <v/>
      </c>
      <c r="K66" s="22">
        <f>Data!L66</f>
        <v>0</v>
      </c>
      <c r="L66" s="21" t="str">
        <f>IF(Data!N66=0,"",Data!N66)</f>
        <v/>
      </c>
      <c r="M66" s="20">
        <f>Data!O66</f>
        <v>0</v>
      </c>
      <c r="N66" s="20">
        <f>Data!P66</f>
        <v>0</v>
      </c>
      <c r="O66" s="20">
        <f>Data!Q66</f>
        <v>0</v>
      </c>
      <c r="P66" s="20">
        <f>Data!R66</f>
        <v>0</v>
      </c>
      <c r="Q66" s="20">
        <f>Data!S66</f>
        <v>0</v>
      </c>
      <c r="R66" s="20">
        <f>Data!T66</f>
        <v>0</v>
      </c>
      <c r="S66" s="20">
        <f>Data!U66</f>
        <v>0</v>
      </c>
      <c r="T66" s="20">
        <f>Data!V66</f>
        <v>0</v>
      </c>
      <c r="U66" s="20">
        <f>Data!W66</f>
        <v>0</v>
      </c>
      <c r="V66" s="20">
        <f>Data!X66</f>
        <v>0</v>
      </c>
      <c r="W66" s="20">
        <f>Data!Y66</f>
        <v>0</v>
      </c>
      <c r="X66" s="20">
        <f>Data!Z66</f>
        <v>0</v>
      </c>
      <c r="Y66" s="22">
        <f>Data!AL66</f>
        <v>0</v>
      </c>
      <c r="Z66" s="20" t="str">
        <f>Data!AC66</f>
        <v>Ignition</v>
      </c>
      <c r="AA66" s="20" t="str">
        <f>Data!AE66</f>
        <v/>
      </c>
      <c r="AB66" s="20">
        <f>Data!AG66</f>
        <v>0</v>
      </c>
      <c r="AC66" s="20" t="str">
        <f>CONCATENATE(Data!AI66," ",Data!AJ66)</f>
        <v xml:space="preserve">1 </v>
      </c>
    </row>
    <row r="67" spans="1:29" ht="15">
      <c r="A67" s="20" t="str">
        <f>Data!A67</f>
        <v>デモ機</v>
      </c>
      <c r="B67" s="20" t="str">
        <f>Data!C67</f>
        <v>Entire Organization</v>
      </c>
      <c r="C67" s="20" t="str">
        <f>IF(Data!E67=0,"",Data!E67)</f>
        <v/>
      </c>
      <c r="D67" s="26">
        <f t="shared" si="0"/>
        <v>42065.867986111109</v>
      </c>
      <c r="E67" s="27">
        <f>Data!F67</f>
        <v>42065.867986111109</v>
      </c>
      <c r="F67" s="20" t="str">
        <f>Data!G67</f>
        <v>GpsRecord</v>
      </c>
      <c r="G67" s="20">
        <f>Data!H67</f>
        <v>0</v>
      </c>
      <c r="H67" s="20">
        <f>Data!I67</f>
        <v>139.40158</v>
      </c>
      <c r="I67" s="20">
        <f>Data!J67</f>
        <v>35.568950000000001</v>
      </c>
      <c r="J67" s="21" t="str">
        <f>IF(Data!K67=0,"",Data!K67)</f>
        <v>日本, 〒252-0206 神奈川県相模原市中央区淵野辺５丁目６−５</v>
      </c>
      <c r="K67" s="22">
        <f>Data!L67</f>
        <v>0</v>
      </c>
      <c r="L67" s="21" t="str">
        <f>IF(Data!N67=0,"",Data!N67)</f>
        <v>Next</v>
      </c>
      <c r="M67" s="20" t="b">
        <f>Data!O67</f>
        <v>1</v>
      </c>
      <c r="N67" s="20" t="b">
        <f>Data!P67</f>
        <v>0</v>
      </c>
      <c r="O67" s="20" t="b">
        <f>Data!Q67</f>
        <v>0</v>
      </c>
      <c r="P67" s="20" t="b">
        <f>Data!R67</f>
        <v>0</v>
      </c>
      <c r="Q67" s="20" t="b">
        <f>Data!S67</f>
        <v>0</v>
      </c>
      <c r="R67" s="20" t="b">
        <f>Data!T67</f>
        <v>0</v>
      </c>
      <c r="S67" s="20" t="b">
        <f>Data!U67</f>
        <v>0</v>
      </c>
      <c r="T67" s="20" t="b">
        <f>Data!V67</f>
        <v>0</v>
      </c>
      <c r="U67" s="20" t="b">
        <f>Data!W67</f>
        <v>0</v>
      </c>
      <c r="V67" s="20" t="b">
        <f>Data!X67</f>
        <v>1</v>
      </c>
      <c r="W67" s="20" t="b">
        <f>Data!Y67</f>
        <v>1</v>
      </c>
      <c r="X67" s="20">
        <f>Data!Z67</f>
        <v>0</v>
      </c>
      <c r="Y67" s="22">
        <f>Data!AL67</f>
        <v>0</v>
      </c>
      <c r="Z67" s="20">
        <f>Data!AC67</f>
        <v>0</v>
      </c>
      <c r="AA67" s="20">
        <f>Data!AE67</f>
        <v>0</v>
      </c>
      <c r="AB67" s="20">
        <f>Data!AG67</f>
        <v>0</v>
      </c>
      <c r="AC67" s="20" t="str">
        <f>CONCATENATE(Data!AI67," ",Data!AJ67)</f>
        <v xml:space="preserve"> </v>
      </c>
    </row>
    <row r="68" spans="1:29" ht="15">
      <c r="A68" s="20" t="str">
        <f>Data!A68</f>
        <v>デモ機</v>
      </c>
      <c r="B68" s="20" t="str">
        <f>Data!C68</f>
        <v>Entire Organization</v>
      </c>
      <c r="C68" s="20" t="str">
        <f>IF(Data!E68=0,"",Data!E68)</f>
        <v/>
      </c>
      <c r="D68" s="26">
        <f t="shared" si="0"/>
        <v>42065.867986377314</v>
      </c>
      <c r="E68" s="27">
        <f>Data!F68</f>
        <v>42065.867986377314</v>
      </c>
      <c r="F68" s="20" t="str">
        <f>Data!G68</f>
        <v>DebugRecord</v>
      </c>
      <c r="G68" s="20">
        <f>Data!H68</f>
        <v>0</v>
      </c>
      <c r="H68" s="20">
        <f>Data!I68</f>
        <v>0</v>
      </c>
      <c r="I68" s="20">
        <f>Data!J68</f>
        <v>0</v>
      </c>
      <c r="J68" s="21" t="str">
        <f>IF(Data!K68=0,"",Data!K68)</f>
        <v/>
      </c>
      <c r="K68" s="22">
        <f>Data!L68</f>
        <v>0</v>
      </c>
      <c r="L68" s="21" t="str">
        <f>IF(Data!N68=0,"",Data!N68)</f>
        <v>GeoZoneDetected</v>
      </c>
      <c r="M68" s="20">
        <f>Data!O68</f>
        <v>0</v>
      </c>
      <c r="N68" s="20">
        <f>Data!P68</f>
        <v>0</v>
      </c>
      <c r="O68" s="20">
        <f>Data!Q68</f>
        <v>0</v>
      </c>
      <c r="P68" s="20">
        <f>Data!R68</f>
        <v>0</v>
      </c>
      <c r="Q68" s="20">
        <f>Data!S68</f>
        <v>0</v>
      </c>
      <c r="R68" s="20">
        <f>Data!T68</f>
        <v>0</v>
      </c>
      <c r="S68" s="20">
        <f>Data!U68</f>
        <v>0</v>
      </c>
      <c r="T68" s="20">
        <f>Data!V68</f>
        <v>0</v>
      </c>
      <c r="U68" s="20">
        <f>Data!W68</f>
        <v>0</v>
      </c>
      <c r="V68" s="20">
        <f>Data!X68</f>
        <v>0</v>
      </c>
      <c r="W68" s="20">
        <f>Data!Y68</f>
        <v>0</v>
      </c>
      <c r="X68" s="20">
        <f>Data!Z68</f>
        <v>0</v>
      </c>
      <c r="Y68" s="22" t="str">
        <f>Data!AL68</f>
        <v>040000000000000000000000000000</v>
      </c>
      <c r="Z68" s="20">
        <f>Data!AC68</f>
        <v>0</v>
      </c>
      <c r="AA68" s="20">
        <f>Data!AE68</f>
        <v>0</v>
      </c>
      <c r="AB68" s="20">
        <f>Data!AG68</f>
        <v>0</v>
      </c>
      <c r="AC68" s="20" t="str">
        <f>CONCATENATE(Data!AI68," ",Data!AJ68)</f>
        <v xml:space="preserve"> </v>
      </c>
    </row>
    <row r="69" spans="1:29" ht="15">
      <c r="A69" s="20" t="str">
        <f>Data!A69</f>
        <v>デモ機</v>
      </c>
      <c r="B69" s="20" t="str">
        <f>Data!C69</f>
        <v>Entire Organization</v>
      </c>
      <c r="C69" s="20" t="str">
        <f>IF(Data!E69=0,"",Data!E69)</f>
        <v/>
      </c>
      <c r="D69" s="26">
        <f t="shared" si="0"/>
        <v>42065.867986423611</v>
      </c>
      <c r="E69" s="27">
        <f>Data!F69</f>
        <v>42065.867986423611</v>
      </c>
      <c r="F69" s="20" t="str">
        <f>Data!G69</f>
        <v>EngineStatusRecord</v>
      </c>
      <c r="G69" s="20">
        <f>Data!H69</f>
        <v>0</v>
      </c>
      <c r="H69" s="20">
        <f>Data!I69</f>
        <v>0</v>
      </c>
      <c r="I69" s="20">
        <f>Data!J69</f>
        <v>0</v>
      </c>
      <c r="J69" s="21" t="str">
        <f>IF(Data!K69=0,"",Data!K69)</f>
        <v/>
      </c>
      <c r="K69" s="22">
        <f>Data!L69</f>
        <v>0</v>
      </c>
      <c r="L69" s="21" t="str">
        <f>IF(Data!N69=0,"",Data!N69)</f>
        <v/>
      </c>
      <c r="M69" s="20">
        <f>Data!O69</f>
        <v>0</v>
      </c>
      <c r="N69" s="20">
        <f>Data!P69</f>
        <v>0</v>
      </c>
      <c r="O69" s="20">
        <f>Data!Q69</f>
        <v>0</v>
      </c>
      <c r="P69" s="20">
        <f>Data!R69</f>
        <v>0</v>
      </c>
      <c r="Q69" s="20">
        <f>Data!S69</f>
        <v>0</v>
      </c>
      <c r="R69" s="20">
        <f>Data!T69</f>
        <v>0</v>
      </c>
      <c r="S69" s="20">
        <f>Data!U69</f>
        <v>0</v>
      </c>
      <c r="T69" s="20">
        <f>Data!V69</f>
        <v>0</v>
      </c>
      <c r="U69" s="20">
        <f>Data!W69</f>
        <v>0</v>
      </c>
      <c r="V69" s="20">
        <f>Data!X69</f>
        <v>0</v>
      </c>
      <c r="W69" s="20">
        <f>Data!Y69</f>
        <v>0</v>
      </c>
      <c r="X69" s="20">
        <f>Data!Z69</f>
        <v>0</v>
      </c>
      <c r="Y69" s="22">
        <f>Data!AL69</f>
        <v>0</v>
      </c>
      <c r="Z69" s="20" t="str">
        <f>Data!AC69</f>
        <v>Engine RPM</v>
      </c>
      <c r="AA69" s="20" t="str">
        <f>Data!AE69</f>
        <v/>
      </c>
      <c r="AB69" s="20">
        <f>Data!AG69</f>
        <v>0</v>
      </c>
      <c r="AC69" s="20" t="str">
        <f>CONCATENATE(Data!AI69," ",Data!AJ69)</f>
        <v>1600.25 RPM</v>
      </c>
    </row>
    <row r="70" spans="1:29" ht="15">
      <c r="A70" s="20" t="str">
        <f>Data!A70</f>
        <v>デモ機</v>
      </c>
      <c r="B70" s="20" t="str">
        <f>Data!C70</f>
        <v>Entire Organization</v>
      </c>
      <c r="C70" s="20" t="str">
        <f>IF(Data!E70=0,"",Data!E70)</f>
        <v/>
      </c>
      <c r="D70" s="26">
        <f t="shared" si="0"/>
        <v>42065.86798761574</v>
      </c>
      <c r="E70" s="27">
        <f>Data!F70</f>
        <v>42065.86798761574</v>
      </c>
      <c r="F70" s="20" t="str">
        <f>Data!G70</f>
        <v>DebugRecord</v>
      </c>
      <c r="G70" s="20">
        <f>Data!H70</f>
        <v>0</v>
      </c>
      <c r="H70" s="20">
        <f>Data!I70</f>
        <v>0</v>
      </c>
      <c r="I70" s="20">
        <f>Data!J70</f>
        <v>0</v>
      </c>
      <c r="J70" s="21" t="str">
        <f>IF(Data!K70=0,"",Data!K70)</f>
        <v/>
      </c>
      <c r="K70" s="22">
        <f>Data!L70</f>
        <v>0</v>
      </c>
      <c r="L70" s="21" t="str">
        <f>IF(Data!N70=0,"",Data!N70)</f>
        <v>EnginePidSupportDebug</v>
      </c>
      <c r="M70" s="20">
        <f>Data!O70</f>
        <v>0</v>
      </c>
      <c r="N70" s="20">
        <f>Data!P70</f>
        <v>0</v>
      </c>
      <c r="O70" s="20">
        <f>Data!Q70</f>
        <v>0</v>
      </c>
      <c r="P70" s="20">
        <f>Data!R70</f>
        <v>0</v>
      </c>
      <c r="Q70" s="20">
        <f>Data!S70</f>
        <v>0</v>
      </c>
      <c r="R70" s="20">
        <f>Data!T70</f>
        <v>0</v>
      </c>
      <c r="S70" s="20">
        <f>Data!U70</f>
        <v>0</v>
      </c>
      <c r="T70" s="20">
        <f>Data!V70</f>
        <v>0</v>
      </c>
      <c r="U70" s="20">
        <f>Data!W70</f>
        <v>0</v>
      </c>
      <c r="V70" s="20">
        <f>Data!X70</f>
        <v>0</v>
      </c>
      <c r="W70" s="20">
        <f>Data!Y70</f>
        <v>0</v>
      </c>
      <c r="X70" s="20">
        <f>Data!Z70</f>
        <v>0</v>
      </c>
      <c r="Y70" s="22" t="str">
        <f>Data!AL70</f>
        <v>E90088180011000000000000000000</v>
      </c>
      <c r="Z70" s="20">
        <f>Data!AC70</f>
        <v>0</v>
      </c>
      <c r="AA70" s="20">
        <f>Data!AE70</f>
        <v>0</v>
      </c>
      <c r="AB70" s="20">
        <f>Data!AG70</f>
        <v>0</v>
      </c>
      <c r="AC70" s="20" t="str">
        <f>CONCATENATE(Data!AI70," ",Data!AJ70)</f>
        <v xml:space="preserve"> </v>
      </c>
    </row>
    <row r="71" spans="1:29" ht="15">
      <c r="A71" s="20" t="str">
        <f>Data!A71</f>
        <v>デモ機</v>
      </c>
      <c r="B71" s="20" t="str">
        <f>Data!C71</f>
        <v>Entire Organization</v>
      </c>
      <c r="C71" s="20" t="str">
        <f>IF(Data!E71=0,"",Data!E71)</f>
        <v/>
      </c>
      <c r="D71" s="26">
        <f t="shared" si="0"/>
        <v>42065.86798761574</v>
      </c>
      <c r="E71" s="27">
        <f>Data!F71</f>
        <v>42065.86798761574</v>
      </c>
      <c r="F71" s="20" t="str">
        <f>Data!G71</f>
        <v>DebugRecord</v>
      </c>
      <c r="G71" s="20">
        <f>Data!H71</f>
        <v>0</v>
      </c>
      <c r="H71" s="20">
        <f>Data!I71</f>
        <v>0</v>
      </c>
      <c r="I71" s="20">
        <f>Data!J71</f>
        <v>0</v>
      </c>
      <c r="J71" s="21" t="str">
        <f>IF(Data!K71=0,"",Data!K71)</f>
        <v/>
      </c>
      <c r="K71" s="22">
        <f>Data!L71</f>
        <v>0</v>
      </c>
      <c r="L71" s="21" t="str">
        <f>IF(Data!N71=0,"",Data!N71)</f>
        <v>EnginePidSupportDebug</v>
      </c>
      <c r="M71" s="20">
        <f>Data!O71</f>
        <v>0</v>
      </c>
      <c r="N71" s="20">
        <f>Data!P71</f>
        <v>0</v>
      </c>
      <c r="O71" s="20">
        <f>Data!Q71</f>
        <v>0</v>
      </c>
      <c r="P71" s="20">
        <f>Data!R71</f>
        <v>0</v>
      </c>
      <c r="Q71" s="20">
        <f>Data!S71</f>
        <v>0</v>
      </c>
      <c r="R71" s="20">
        <f>Data!T71</f>
        <v>0</v>
      </c>
      <c r="S71" s="20">
        <f>Data!U71</f>
        <v>0</v>
      </c>
      <c r="T71" s="20">
        <f>Data!V71</f>
        <v>0</v>
      </c>
      <c r="U71" s="20">
        <f>Data!W71</f>
        <v>0</v>
      </c>
      <c r="V71" s="20">
        <f>Data!X71</f>
        <v>0</v>
      </c>
      <c r="W71" s="20">
        <f>Data!Y71</f>
        <v>0</v>
      </c>
      <c r="X71" s="20">
        <f>Data!Z71</f>
        <v>0</v>
      </c>
      <c r="Y71" s="22" t="str">
        <f>Data!AL71</f>
        <v>E800BE3FA813000000000000000000</v>
      </c>
      <c r="Z71" s="20">
        <f>Data!AC71</f>
        <v>0</v>
      </c>
      <c r="AA71" s="20">
        <f>Data!AE71</f>
        <v>0</v>
      </c>
      <c r="AB71" s="20">
        <f>Data!AG71</f>
        <v>0</v>
      </c>
      <c r="AC71" s="20" t="str">
        <f>CONCATENATE(Data!AI71," ",Data!AJ71)</f>
        <v xml:space="preserve"> </v>
      </c>
    </row>
    <row r="72" spans="1:29" ht="15">
      <c r="A72" s="20" t="str">
        <f>Data!A72</f>
        <v>デモ機</v>
      </c>
      <c r="B72" s="20" t="str">
        <f>Data!C72</f>
        <v>Entire Organization</v>
      </c>
      <c r="C72" s="20" t="str">
        <f>IF(Data!E72=0,"",Data!E72)</f>
        <v/>
      </c>
      <c r="D72" s="26">
        <f t="shared" si="0"/>
        <v>42065.867996562498</v>
      </c>
      <c r="E72" s="27">
        <f>Data!F72</f>
        <v>42065.867996562498</v>
      </c>
      <c r="F72" s="20" t="str">
        <f>Data!G72</f>
        <v>DebugRecord</v>
      </c>
      <c r="G72" s="20">
        <f>Data!H72</f>
        <v>0</v>
      </c>
      <c r="H72" s="20">
        <f>Data!I72</f>
        <v>0</v>
      </c>
      <c r="I72" s="20">
        <f>Data!J72</f>
        <v>0</v>
      </c>
      <c r="J72" s="21" t="str">
        <f>IF(Data!K72=0,"",Data!K72)</f>
        <v/>
      </c>
      <c r="K72" s="22">
        <f>Data!L72</f>
        <v>0</v>
      </c>
      <c r="L72" s="21" t="str">
        <f>IF(Data!N72=0,"",Data!N72)</f>
        <v>InvalidDate</v>
      </c>
      <c r="M72" s="20">
        <f>Data!O72</f>
        <v>0</v>
      </c>
      <c r="N72" s="20">
        <f>Data!P72</f>
        <v>0</v>
      </c>
      <c r="O72" s="20">
        <f>Data!Q72</f>
        <v>0</v>
      </c>
      <c r="P72" s="20">
        <f>Data!R72</f>
        <v>0</v>
      </c>
      <c r="Q72" s="20">
        <f>Data!S72</f>
        <v>0</v>
      </c>
      <c r="R72" s="20">
        <f>Data!T72</f>
        <v>0</v>
      </c>
      <c r="S72" s="20">
        <f>Data!U72</f>
        <v>0</v>
      </c>
      <c r="T72" s="20">
        <f>Data!V72</f>
        <v>0</v>
      </c>
      <c r="U72" s="20">
        <f>Data!W72</f>
        <v>0</v>
      </c>
      <c r="V72" s="20">
        <f>Data!X72</f>
        <v>0</v>
      </c>
      <c r="W72" s="20">
        <f>Data!Y72</f>
        <v>0</v>
      </c>
      <c r="X72" s="20">
        <f>Data!Z72</f>
        <v>0</v>
      </c>
      <c r="Y72" s="22" t="str">
        <f>Data!AL72</f>
        <v>2D4900000007140001010000000000</v>
      </c>
      <c r="Z72" s="20">
        <f>Data!AC72</f>
        <v>0</v>
      </c>
      <c r="AA72" s="20">
        <f>Data!AE72</f>
        <v>0</v>
      </c>
      <c r="AB72" s="20">
        <f>Data!AG72</f>
        <v>0</v>
      </c>
      <c r="AC72" s="20" t="str">
        <f>CONCATENATE(Data!AI72," ",Data!AJ72)</f>
        <v xml:space="preserve"> </v>
      </c>
    </row>
    <row r="73" spans="1:29" ht="15">
      <c r="A73" s="20" t="str">
        <f>Data!A73</f>
        <v>デモ機</v>
      </c>
      <c r="B73" s="20" t="str">
        <f>Data!C73</f>
        <v>Entire Organization</v>
      </c>
      <c r="C73" s="20" t="str">
        <f>IF(Data!E73=0,"",Data!E73)</f>
        <v/>
      </c>
      <c r="D73" s="26">
        <f t="shared" ref="D73:D136" si="1">E73</f>
        <v>42065.867996562498</v>
      </c>
      <c r="E73" s="27">
        <f>Data!F73</f>
        <v>42065.867996562498</v>
      </c>
      <c r="F73" s="20" t="str">
        <f>Data!G73</f>
        <v>DebugRecord</v>
      </c>
      <c r="G73" s="20">
        <f>Data!H73</f>
        <v>0</v>
      </c>
      <c r="H73" s="20">
        <f>Data!I73</f>
        <v>0</v>
      </c>
      <c r="I73" s="20">
        <f>Data!J73</f>
        <v>0</v>
      </c>
      <c r="J73" s="21" t="str">
        <f>IF(Data!K73=0,"",Data!K73)</f>
        <v/>
      </c>
      <c r="K73" s="22">
        <f>Data!L73</f>
        <v>0</v>
      </c>
      <c r="L73" s="21" t="str">
        <f>IF(Data!N73=0,"",Data!N73)</f>
        <v>InvalidDate</v>
      </c>
      <c r="M73" s="20">
        <f>Data!O73</f>
        <v>0</v>
      </c>
      <c r="N73" s="20">
        <f>Data!P73</f>
        <v>0</v>
      </c>
      <c r="O73" s="20">
        <f>Data!Q73</f>
        <v>0</v>
      </c>
      <c r="P73" s="20">
        <f>Data!R73</f>
        <v>0</v>
      </c>
      <c r="Q73" s="20">
        <f>Data!S73</f>
        <v>0</v>
      </c>
      <c r="R73" s="20">
        <f>Data!T73</f>
        <v>0</v>
      </c>
      <c r="S73" s="20">
        <f>Data!U73</f>
        <v>0</v>
      </c>
      <c r="T73" s="20">
        <f>Data!V73</f>
        <v>0</v>
      </c>
      <c r="U73" s="20">
        <f>Data!W73</f>
        <v>0</v>
      </c>
      <c r="V73" s="20">
        <f>Data!X73</f>
        <v>0</v>
      </c>
      <c r="W73" s="20">
        <f>Data!Y73</f>
        <v>0</v>
      </c>
      <c r="X73" s="20">
        <f>Data!Z73</f>
        <v>0</v>
      </c>
      <c r="Y73" s="22" t="str">
        <f>Data!AL73</f>
        <v>324900000007190100010000000000</v>
      </c>
      <c r="Z73" s="20">
        <f>Data!AC73</f>
        <v>0</v>
      </c>
      <c r="AA73" s="20">
        <f>Data!AE73</f>
        <v>0</v>
      </c>
      <c r="AB73" s="20">
        <f>Data!AG73</f>
        <v>0</v>
      </c>
      <c r="AC73" s="20" t="str">
        <f>CONCATENATE(Data!AI73," ",Data!AJ73)</f>
        <v xml:space="preserve"> </v>
      </c>
    </row>
    <row r="74" spans="1:29" ht="15">
      <c r="A74" s="20" t="str">
        <f>Data!A74</f>
        <v>デモ機</v>
      </c>
      <c r="B74" s="20" t="str">
        <f>Data!C74</f>
        <v>Entire Organization</v>
      </c>
      <c r="C74" s="20" t="str">
        <f>IF(Data!E74=0,"",Data!E74)</f>
        <v/>
      </c>
      <c r="D74" s="26">
        <f t="shared" si="1"/>
        <v>42065.867996562498</v>
      </c>
      <c r="E74" s="27">
        <f>Data!F74</f>
        <v>42065.867996562498</v>
      </c>
      <c r="F74" s="20" t="str">
        <f>Data!G74</f>
        <v>DebugRecord</v>
      </c>
      <c r="G74" s="20">
        <f>Data!H74</f>
        <v>0</v>
      </c>
      <c r="H74" s="20">
        <f>Data!I74</f>
        <v>0</v>
      </c>
      <c r="I74" s="20">
        <f>Data!J74</f>
        <v>0</v>
      </c>
      <c r="J74" s="21" t="str">
        <f>IF(Data!K74=0,"",Data!K74)</f>
        <v/>
      </c>
      <c r="K74" s="22">
        <f>Data!L74</f>
        <v>0</v>
      </c>
      <c r="L74" s="21" t="str">
        <f>IF(Data!N74=0,"",Data!N74)</f>
        <v>InvalidDate</v>
      </c>
      <c r="M74" s="20">
        <f>Data!O74</f>
        <v>0</v>
      </c>
      <c r="N74" s="20">
        <f>Data!P74</f>
        <v>0</v>
      </c>
      <c r="O74" s="20">
        <f>Data!Q74</f>
        <v>0</v>
      </c>
      <c r="P74" s="20">
        <f>Data!R74</f>
        <v>0</v>
      </c>
      <c r="Q74" s="20">
        <f>Data!S74</f>
        <v>0</v>
      </c>
      <c r="R74" s="20">
        <f>Data!T74</f>
        <v>0</v>
      </c>
      <c r="S74" s="20">
        <f>Data!U74</f>
        <v>0</v>
      </c>
      <c r="T74" s="20">
        <f>Data!V74</f>
        <v>0</v>
      </c>
      <c r="U74" s="20">
        <f>Data!W74</f>
        <v>0</v>
      </c>
      <c r="V74" s="20">
        <f>Data!X74</f>
        <v>0</v>
      </c>
      <c r="W74" s="20">
        <f>Data!Y74</f>
        <v>0</v>
      </c>
      <c r="X74" s="20">
        <f>Data!Z74</f>
        <v>0</v>
      </c>
      <c r="Y74" s="22" t="str">
        <f>Data!AL74</f>
        <v>6F49000000076AEB0B170000000000</v>
      </c>
      <c r="Z74" s="20">
        <f>Data!AC74</f>
        <v>0</v>
      </c>
      <c r="AA74" s="20">
        <f>Data!AE74</f>
        <v>0</v>
      </c>
      <c r="AB74" s="20">
        <f>Data!AG74</f>
        <v>0</v>
      </c>
      <c r="AC74" s="20" t="str">
        <f>CONCATENATE(Data!AI74," ",Data!AJ74)</f>
        <v xml:space="preserve"> </v>
      </c>
    </row>
    <row r="75" spans="1:29" ht="15">
      <c r="A75" s="20" t="str">
        <f>Data!A75</f>
        <v>デモ機</v>
      </c>
      <c r="B75" s="20" t="str">
        <f>Data!C75</f>
        <v>Entire Organization</v>
      </c>
      <c r="C75" s="20" t="str">
        <f>IF(Data!E75=0,"",Data!E75)</f>
        <v/>
      </c>
      <c r="D75" s="26">
        <f t="shared" si="1"/>
        <v>42065.867996562498</v>
      </c>
      <c r="E75" s="27">
        <f>Data!F75</f>
        <v>42065.867996562498</v>
      </c>
      <c r="F75" s="20" t="str">
        <f>Data!G75</f>
        <v>DebugRecord</v>
      </c>
      <c r="G75" s="20">
        <f>Data!H75</f>
        <v>0</v>
      </c>
      <c r="H75" s="20">
        <f>Data!I75</f>
        <v>0</v>
      </c>
      <c r="I75" s="20">
        <f>Data!J75</f>
        <v>0</v>
      </c>
      <c r="J75" s="21" t="str">
        <f>IF(Data!K75=0,"",Data!K75)</f>
        <v/>
      </c>
      <c r="K75" s="22">
        <f>Data!L75</f>
        <v>0</v>
      </c>
      <c r="L75" s="21" t="str">
        <f>IF(Data!N75=0,"",Data!N75)</f>
        <v>InvalidDate</v>
      </c>
      <c r="M75" s="20">
        <f>Data!O75</f>
        <v>0</v>
      </c>
      <c r="N75" s="20">
        <f>Data!P75</f>
        <v>0</v>
      </c>
      <c r="O75" s="20">
        <f>Data!Q75</f>
        <v>0</v>
      </c>
      <c r="P75" s="20">
        <f>Data!R75</f>
        <v>0</v>
      </c>
      <c r="Q75" s="20">
        <f>Data!S75</f>
        <v>0</v>
      </c>
      <c r="R75" s="20">
        <f>Data!T75</f>
        <v>0</v>
      </c>
      <c r="S75" s="20">
        <f>Data!U75</f>
        <v>0</v>
      </c>
      <c r="T75" s="20">
        <f>Data!V75</f>
        <v>0</v>
      </c>
      <c r="U75" s="20">
        <f>Data!W75</f>
        <v>0</v>
      </c>
      <c r="V75" s="20">
        <f>Data!X75</f>
        <v>0</v>
      </c>
      <c r="W75" s="20">
        <f>Data!Y75</f>
        <v>0</v>
      </c>
      <c r="X75" s="20">
        <f>Data!Z75</f>
        <v>0</v>
      </c>
      <c r="Y75" s="22" t="str">
        <f>Data!AL75</f>
        <v>6F490000000798EB00000000000000</v>
      </c>
      <c r="Z75" s="20">
        <f>Data!AC75</f>
        <v>0</v>
      </c>
      <c r="AA75" s="20">
        <f>Data!AE75</f>
        <v>0</v>
      </c>
      <c r="AB75" s="20">
        <f>Data!AG75</f>
        <v>0</v>
      </c>
      <c r="AC75" s="20" t="str">
        <f>CONCATENATE(Data!AI75," ",Data!AJ75)</f>
        <v xml:space="preserve"> </v>
      </c>
    </row>
    <row r="76" spans="1:29" ht="15">
      <c r="A76" s="20" t="str">
        <f>Data!A76</f>
        <v>デモ機</v>
      </c>
      <c r="B76" s="20" t="str">
        <f>Data!C76</f>
        <v>Entire Organization</v>
      </c>
      <c r="C76" s="20" t="str">
        <f>IF(Data!E76=0,"",Data!E76)</f>
        <v/>
      </c>
      <c r="D76" s="26">
        <f t="shared" si="1"/>
        <v>42065.867996562498</v>
      </c>
      <c r="E76" s="27">
        <f>Data!F76</f>
        <v>42065.867996562498</v>
      </c>
      <c r="F76" s="20" t="str">
        <f>Data!G76</f>
        <v>DebugRecord</v>
      </c>
      <c r="G76" s="20">
        <f>Data!H76</f>
        <v>0</v>
      </c>
      <c r="H76" s="20">
        <f>Data!I76</f>
        <v>0</v>
      </c>
      <c r="I76" s="20">
        <f>Data!J76</f>
        <v>0</v>
      </c>
      <c r="J76" s="21" t="str">
        <f>IF(Data!K76=0,"",Data!K76)</f>
        <v/>
      </c>
      <c r="K76" s="22">
        <f>Data!L76</f>
        <v>0</v>
      </c>
      <c r="L76" s="21" t="str">
        <f>IF(Data!N76=0,"",Data!N76)</f>
        <v>InvalidDate</v>
      </c>
      <c r="M76" s="20">
        <f>Data!O76</f>
        <v>0</v>
      </c>
      <c r="N76" s="20">
        <f>Data!P76</f>
        <v>0</v>
      </c>
      <c r="O76" s="20">
        <f>Data!Q76</f>
        <v>0</v>
      </c>
      <c r="P76" s="20">
        <f>Data!R76</f>
        <v>0</v>
      </c>
      <c r="Q76" s="20">
        <f>Data!S76</f>
        <v>0</v>
      </c>
      <c r="R76" s="20">
        <f>Data!T76</f>
        <v>0</v>
      </c>
      <c r="S76" s="20">
        <f>Data!U76</f>
        <v>0</v>
      </c>
      <c r="T76" s="20">
        <f>Data!V76</f>
        <v>0</v>
      </c>
      <c r="U76" s="20">
        <f>Data!W76</f>
        <v>0</v>
      </c>
      <c r="V76" s="20">
        <f>Data!X76</f>
        <v>0</v>
      </c>
      <c r="W76" s="20">
        <f>Data!Y76</f>
        <v>0</v>
      </c>
      <c r="X76" s="20">
        <f>Data!Z76</f>
        <v>0</v>
      </c>
      <c r="Y76" s="22" t="str">
        <f>Data!AL76</f>
        <v>70490000000DDE0000000000000000</v>
      </c>
      <c r="Z76" s="20">
        <f>Data!AC76</f>
        <v>0</v>
      </c>
      <c r="AA76" s="20">
        <f>Data!AE76</f>
        <v>0</v>
      </c>
      <c r="AB76" s="20">
        <f>Data!AG76</f>
        <v>0</v>
      </c>
      <c r="AC76" s="20" t="str">
        <f>CONCATENATE(Data!AI76," ",Data!AJ76)</f>
        <v xml:space="preserve"> </v>
      </c>
    </row>
    <row r="77" spans="1:29" ht="15">
      <c r="A77" s="20" t="str">
        <f>Data!A77</f>
        <v>デモ機</v>
      </c>
      <c r="B77" s="20" t="str">
        <f>Data!C77</f>
        <v>Entire Organization</v>
      </c>
      <c r="C77" s="20" t="str">
        <f>IF(Data!E77=0,"",Data!E77)</f>
        <v/>
      </c>
      <c r="D77" s="26">
        <f t="shared" si="1"/>
        <v>42065.867996562498</v>
      </c>
      <c r="E77" s="27">
        <f>Data!F77</f>
        <v>42065.867996562498</v>
      </c>
      <c r="F77" s="20" t="str">
        <f>Data!G77</f>
        <v>DebugRecord</v>
      </c>
      <c r="G77" s="20">
        <f>Data!H77</f>
        <v>0</v>
      </c>
      <c r="H77" s="20">
        <f>Data!I77</f>
        <v>0</v>
      </c>
      <c r="I77" s="20">
        <f>Data!J77</f>
        <v>0</v>
      </c>
      <c r="J77" s="21" t="str">
        <f>IF(Data!K77=0,"",Data!K77)</f>
        <v/>
      </c>
      <c r="K77" s="22">
        <f>Data!L77</f>
        <v>0</v>
      </c>
      <c r="L77" s="21" t="str">
        <f>IF(Data!N77=0,"",Data!N77)</f>
        <v>InvalidDate</v>
      </c>
      <c r="M77" s="20">
        <f>Data!O77</f>
        <v>0</v>
      </c>
      <c r="N77" s="20">
        <f>Data!P77</f>
        <v>0</v>
      </c>
      <c r="O77" s="20">
        <f>Data!Q77</f>
        <v>0</v>
      </c>
      <c r="P77" s="20">
        <f>Data!R77</f>
        <v>0</v>
      </c>
      <c r="Q77" s="20">
        <f>Data!S77</f>
        <v>0</v>
      </c>
      <c r="R77" s="20">
        <f>Data!T77</f>
        <v>0</v>
      </c>
      <c r="S77" s="20">
        <f>Data!U77</f>
        <v>0</v>
      </c>
      <c r="T77" s="20">
        <f>Data!V77</f>
        <v>0</v>
      </c>
      <c r="U77" s="20">
        <f>Data!W77</f>
        <v>0</v>
      </c>
      <c r="V77" s="20">
        <f>Data!X77</f>
        <v>0</v>
      </c>
      <c r="W77" s="20">
        <f>Data!Y77</f>
        <v>0</v>
      </c>
      <c r="X77" s="20">
        <f>Data!Z77</f>
        <v>0</v>
      </c>
      <c r="Y77" s="22" t="str">
        <f>Data!AL77</f>
        <v>6F490000000D6AEB06170000000000</v>
      </c>
      <c r="Z77" s="20">
        <f>Data!AC77</f>
        <v>0</v>
      </c>
      <c r="AA77" s="20">
        <f>Data!AE77</f>
        <v>0</v>
      </c>
      <c r="AB77" s="20">
        <f>Data!AG77</f>
        <v>0</v>
      </c>
      <c r="AC77" s="20" t="str">
        <f>CONCATENATE(Data!AI77," ",Data!AJ77)</f>
        <v xml:space="preserve"> </v>
      </c>
    </row>
    <row r="78" spans="1:29" ht="15">
      <c r="A78" s="20" t="str">
        <f>Data!A78</f>
        <v>デモ機</v>
      </c>
      <c r="B78" s="20" t="str">
        <f>Data!C78</f>
        <v>Entire Organization</v>
      </c>
      <c r="C78" s="20" t="str">
        <f>IF(Data!E78=0,"",Data!E78)</f>
        <v/>
      </c>
      <c r="D78" s="26">
        <f t="shared" si="1"/>
        <v>42065.867996562498</v>
      </c>
      <c r="E78" s="27">
        <f>Data!F78</f>
        <v>42065.867996562498</v>
      </c>
      <c r="F78" s="20" t="str">
        <f>Data!G78</f>
        <v>DebugRecord</v>
      </c>
      <c r="G78" s="20">
        <f>Data!H78</f>
        <v>0</v>
      </c>
      <c r="H78" s="20">
        <f>Data!I78</f>
        <v>0</v>
      </c>
      <c r="I78" s="20">
        <f>Data!J78</f>
        <v>0</v>
      </c>
      <c r="J78" s="21" t="str">
        <f>IF(Data!K78=0,"",Data!K78)</f>
        <v/>
      </c>
      <c r="K78" s="22">
        <f>Data!L78</f>
        <v>0</v>
      </c>
      <c r="L78" s="21" t="str">
        <f>IF(Data!N78=0,"",Data!N78)</f>
        <v>InvalidDate</v>
      </c>
      <c r="M78" s="20">
        <f>Data!O78</f>
        <v>0</v>
      </c>
      <c r="N78" s="20">
        <f>Data!P78</f>
        <v>0</v>
      </c>
      <c r="O78" s="20">
        <f>Data!Q78</f>
        <v>0</v>
      </c>
      <c r="P78" s="20">
        <f>Data!R78</f>
        <v>0</v>
      </c>
      <c r="Q78" s="20">
        <f>Data!S78</f>
        <v>0</v>
      </c>
      <c r="R78" s="20">
        <f>Data!T78</f>
        <v>0</v>
      </c>
      <c r="S78" s="20">
        <f>Data!U78</f>
        <v>0</v>
      </c>
      <c r="T78" s="20">
        <f>Data!V78</f>
        <v>0</v>
      </c>
      <c r="U78" s="20">
        <f>Data!W78</f>
        <v>0</v>
      </c>
      <c r="V78" s="20">
        <f>Data!X78</f>
        <v>0</v>
      </c>
      <c r="W78" s="20">
        <f>Data!Y78</f>
        <v>0</v>
      </c>
      <c r="X78" s="20">
        <f>Data!Z78</f>
        <v>0</v>
      </c>
      <c r="Y78" s="22" t="str">
        <f>Data!AL78</f>
        <v>70490000002952E900881800110000</v>
      </c>
      <c r="Z78" s="20">
        <f>Data!AC78</f>
        <v>0</v>
      </c>
      <c r="AA78" s="20">
        <f>Data!AE78</f>
        <v>0</v>
      </c>
      <c r="AB78" s="20">
        <f>Data!AG78</f>
        <v>0</v>
      </c>
      <c r="AC78" s="20" t="str">
        <f>CONCATENATE(Data!AI78," ",Data!AJ78)</f>
        <v xml:space="preserve"> </v>
      </c>
    </row>
    <row r="79" spans="1:29" ht="15">
      <c r="A79" s="20" t="str">
        <f>Data!A79</f>
        <v>デモ機</v>
      </c>
      <c r="B79" s="20" t="str">
        <f>Data!C79</f>
        <v>Entire Organization</v>
      </c>
      <c r="C79" s="20" t="str">
        <f>IF(Data!E79=0,"",Data!E79)</f>
        <v/>
      </c>
      <c r="D79" s="26">
        <f t="shared" si="1"/>
        <v>42065.867996562498</v>
      </c>
      <c r="E79" s="27">
        <f>Data!F79</f>
        <v>42065.867996562498</v>
      </c>
      <c r="F79" s="20" t="str">
        <f>Data!G79</f>
        <v>DebugRecord</v>
      </c>
      <c r="G79" s="20">
        <f>Data!H79</f>
        <v>0</v>
      </c>
      <c r="H79" s="20">
        <f>Data!I79</f>
        <v>0</v>
      </c>
      <c r="I79" s="20">
        <f>Data!J79</f>
        <v>0</v>
      </c>
      <c r="J79" s="21" t="str">
        <f>IF(Data!K79=0,"",Data!K79)</f>
        <v/>
      </c>
      <c r="K79" s="22">
        <f>Data!L79</f>
        <v>0</v>
      </c>
      <c r="L79" s="21" t="str">
        <f>IF(Data!N79=0,"",Data!N79)</f>
        <v>InvalidDate</v>
      </c>
      <c r="M79" s="20">
        <f>Data!O79</f>
        <v>0</v>
      </c>
      <c r="N79" s="20">
        <f>Data!P79</f>
        <v>0</v>
      </c>
      <c r="O79" s="20">
        <f>Data!Q79</f>
        <v>0</v>
      </c>
      <c r="P79" s="20">
        <f>Data!R79</f>
        <v>0</v>
      </c>
      <c r="Q79" s="20">
        <f>Data!S79</f>
        <v>0</v>
      </c>
      <c r="R79" s="20">
        <f>Data!T79</f>
        <v>0</v>
      </c>
      <c r="S79" s="20">
        <f>Data!U79</f>
        <v>0</v>
      </c>
      <c r="T79" s="20">
        <f>Data!V79</f>
        <v>0</v>
      </c>
      <c r="U79" s="20">
        <f>Data!W79</f>
        <v>0</v>
      </c>
      <c r="V79" s="20">
        <f>Data!X79</f>
        <v>0</v>
      </c>
      <c r="W79" s="20">
        <f>Data!Y79</f>
        <v>0</v>
      </c>
      <c r="X79" s="20">
        <f>Data!Z79</f>
        <v>0</v>
      </c>
      <c r="Y79" s="22" t="str">
        <f>Data!AL79</f>
        <v>70490000002952E800BE3FA8130000</v>
      </c>
      <c r="Z79" s="20">
        <f>Data!AC79</f>
        <v>0</v>
      </c>
      <c r="AA79" s="20">
        <f>Data!AE79</f>
        <v>0</v>
      </c>
      <c r="AB79" s="20">
        <f>Data!AG79</f>
        <v>0</v>
      </c>
      <c r="AC79" s="20" t="str">
        <f>CONCATENATE(Data!AI79," ",Data!AJ79)</f>
        <v xml:space="preserve"> </v>
      </c>
    </row>
    <row r="80" spans="1:29" ht="15">
      <c r="A80" s="20" t="str">
        <f>Data!A80</f>
        <v>デモ機</v>
      </c>
      <c r="B80" s="20" t="str">
        <f>Data!C80</f>
        <v>Entire Organization</v>
      </c>
      <c r="C80" s="20" t="str">
        <f>IF(Data!E80=0,"",Data!E80)</f>
        <v/>
      </c>
      <c r="D80" s="26">
        <f t="shared" si="1"/>
        <v>42065.867996562498</v>
      </c>
      <c r="E80" s="27">
        <f>Data!F80</f>
        <v>42065.867996562498</v>
      </c>
      <c r="F80" s="20" t="str">
        <f>Data!G80</f>
        <v>DebugRecord</v>
      </c>
      <c r="G80" s="20">
        <f>Data!H80</f>
        <v>0</v>
      </c>
      <c r="H80" s="20">
        <f>Data!I80</f>
        <v>0</v>
      </c>
      <c r="I80" s="20">
        <f>Data!J80</f>
        <v>0</v>
      </c>
      <c r="J80" s="21" t="str">
        <f>IF(Data!K80=0,"",Data!K80)</f>
        <v/>
      </c>
      <c r="K80" s="22">
        <f>Data!L80</f>
        <v>0</v>
      </c>
      <c r="L80" s="21" t="str">
        <f>IF(Data!N80=0,"",Data!N80)</f>
        <v>InvalidDate</v>
      </c>
      <c r="M80" s="20">
        <f>Data!O80</f>
        <v>0</v>
      </c>
      <c r="N80" s="20">
        <f>Data!P80</f>
        <v>0</v>
      </c>
      <c r="O80" s="20">
        <f>Data!Q80</f>
        <v>0</v>
      </c>
      <c r="P80" s="20">
        <f>Data!R80</f>
        <v>0</v>
      </c>
      <c r="Q80" s="20">
        <f>Data!S80</f>
        <v>0</v>
      </c>
      <c r="R80" s="20">
        <f>Data!T80</f>
        <v>0</v>
      </c>
      <c r="S80" s="20">
        <f>Data!U80</f>
        <v>0</v>
      </c>
      <c r="T80" s="20">
        <f>Data!V80</f>
        <v>0</v>
      </c>
      <c r="U80" s="20">
        <f>Data!W80</f>
        <v>0</v>
      </c>
      <c r="V80" s="20">
        <f>Data!X80</f>
        <v>0</v>
      </c>
      <c r="W80" s="20">
        <f>Data!Y80</f>
        <v>0</v>
      </c>
      <c r="X80" s="20">
        <f>Data!Z80</f>
        <v>0</v>
      </c>
      <c r="Y80" s="22" t="str">
        <f>Data!AL80</f>
        <v>6F4900000036E1EAE8070000000000</v>
      </c>
      <c r="Z80" s="20">
        <f>Data!AC80</f>
        <v>0</v>
      </c>
      <c r="AA80" s="20">
        <f>Data!AE80</f>
        <v>0</v>
      </c>
      <c r="AB80" s="20">
        <f>Data!AG80</f>
        <v>0</v>
      </c>
      <c r="AC80" s="20" t="str">
        <f>CONCATENATE(Data!AI80," ",Data!AJ80)</f>
        <v xml:space="preserve"> </v>
      </c>
    </row>
    <row r="81" spans="1:29" ht="15">
      <c r="A81" s="20" t="str">
        <f>Data!A81</f>
        <v>デモ機</v>
      </c>
      <c r="B81" s="20" t="str">
        <f>Data!C81</f>
        <v>Entire Organization</v>
      </c>
      <c r="C81" s="20" t="str">
        <f>IF(Data!E81=0,"",Data!E81)</f>
        <v/>
      </c>
      <c r="D81" s="26">
        <f t="shared" si="1"/>
        <v>42065.867996562498</v>
      </c>
      <c r="E81" s="27">
        <f>Data!F81</f>
        <v>42065.867996562498</v>
      </c>
      <c r="F81" s="20" t="str">
        <f>Data!G81</f>
        <v>DebugRecord</v>
      </c>
      <c r="G81" s="20">
        <f>Data!H81</f>
        <v>0</v>
      </c>
      <c r="H81" s="20">
        <f>Data!I81</f>
        <v>0</v>
      </c>
      <c r="I81" s="20">
        <f>Data!J81</f>
        <v>0</v>
      </c>
      <c r="J81" s="21" t="str">
        <f>IF(Data!K81=0,"",Data!K81)</f>
        <v/>
      </c>
      <c r="K81" s="22">
        <f>Data!L81</f>
        <v>0</v>
      </c>
      <c r="L81" s="21" t="str">
        <f>IF(Data!N81=0,"",Data!N81)</f>
        <v>InvalidDate</v>
      </c>
      <c r="M81" s="20">
        <f>Data!O81</f>
        <v>0</v>
      </c>
      <c r="N81" s="20">
        <f>Data!P81</f>
        <v>0</v>
      </c>
      <c r="O81" s="20">
        <f>Data!Q81</f>
        <v>0</v>
      </c>
      <c r="P81" s="20">
        <f>Data!R81</f>
        <v>0</v>
      </c>
      <c r="Q81" s="20">
        <f>Data!S81</f>
        <v>0</v>
      </c>
      <c r="R81" s="20">
        <f>Data!T81</f>
        <v>0</v>
      </c>
      <c r="S81" s="20">
        <f>Data!U81</f>
        <v>0</v>
      </c>
      <c r="T81" s="20">
        <f>Data!V81</f>
        <v>0</v>
      </c>
      <c r="U81" s="20">
        <f>Data!W81</f>
        <v>0</v>
      </c>
      <c r="V81" s="20">
        <f>Data!X81</f>
        <v>0</v>
      </c>
      <c r="W81" s="20">
        <f>Data!Y81</f>
        <v>0</v>
      </c>
      <c r="X81" s="20">
        <f>Data!Z81</f>
        <v>0</v>
      </c>
      <c r="Y81" s="22" t="str">
        <f>Data!AL81</f>
        <v>6F49000000436AEB23170000000000</v>
      </c>
      <c r="Z81" s="20">
        <f>Data!AC81</f>
        <v>0</v>
      </c>
      <c r="AA81" s="20">
        <f>Data!AE81</f>
        <v>0</v>
      </c>
      <c r="AB81" s="20">
        <f>Data!AG81</f>
        <v>0</v>
      </c>
      <c r="AC81" s="20" t="str">
        <f>CONCATENATE(Data!AI81," ",Data!AJ81)</f>
        <v xml:space="preserve"> </v>
      </c>
    </row>
    <row r="82" spans="1:29" ht="15">
      <c r="A82" s="20" t="str">
        <f>Data!A82</f>
        <v>デモ機</v>
      </c>
      <c r="B82" s="20" t="str">
        <f>Data!C82</f>
        <v>Entire Organization</v>
      </c>
      <c r="C82" s="20" t="str">
        <f>IF(Data!E82=0,"",Data!E82)</f>
        <v/>
      </c>
      <c r="D82" s="26">
        <f t="shared" si="1"/>
        <v>42065.867996562498</v>
      </c>
      <c r="E82" s="27">
        <f>Data!F82</f>
        <v>42065.867996562498</v>
      </c>
      <c r="F82" s="20" t="str">
        <f>Data!G82</f>
        <v>DebugRecord</v>
      </c>
      <c r="G82" s="20">
        <f>Data!H82</f>
        <v>0</v>
      </c>
      <c r="H82" s="20">
        <f>Data!I82</f>
        <v>0</v>
      </c>
      <c r="I82" s="20">
        <f>Data!J82</f>
        <v>0</v>
      </c>
      <c r="J82" s="21" t="str">
        <f>IF(Data!K82=0,"",Data!K82)</f>
        <v/>
      </c>
      <c r="K82" s="22">
        <f>Data!L82</f>
        <v>0</v>
      </c>
      <c r="L82" s="21" t="str">
        <f>IF(Data!N82=0,"",Data!N82)</f>
        <v>InvalidDate</v>
      </c>
      <c r="M82" s="20">
        <f>Data!O82</f>
        <v>0</v>
      </c>
      <c r="N82" s="20">
        <f>Data!P82</f>
        <v>0</v>
      </c>
      <c r="O82" s="20">
        <f>Data!Q82</f>
        <v>0</v>
      </c>
      <c r="P82" s="20">
        <f>Data!R82</f>
        <v>0</v>
      </c>
      <c r="Q82" s="20">
        <f>Data!S82</f>
        <v>0</v>
      </c>
      <c r="R82" s="20">
        <f>Data!T82</f>
        <v>0</v>
      </c>
      <c r="S82" s="20">
        <f>Data!U82</f>
        <v>0</v>
      </c>
      <c r="T82" s="20">
        <f>Data!V82</f>
        <v>0</v>
      </c>
      <c r="U82" s="20">
        <f>Data!W82</f>
        <v>0</v>
      </c>
      <c r="V82" s="20">
        <f>Data!X82</f>
        <v>0</v>
      </c>
      <c r="W82" s="20">
        <f>Data!Y82</f>
        <v>0</v>
      </c>
      <c r="X82" s="20">
        <f>Data!Z82</f>
        <v>0</v>
      </c>
      <c r="Y82" s="22" t="str">
        <f>Data!AL82</f>
        <v>6F49000000506AEB4C170000000000</v>
      </c>
      <c r="Z82" s="20">
        <f>Data!AC82</f>
        <v>0</v>
      </c>
      <c r="AA82" s="20">
        <f>Data!AE82</f>
        <v>0</v>
      </c>
      <c r="AB82" s="20">
        <f>Data!AG82</f>
        <v>0</v>
      </c>
      <c r="AC82" s="20" t="str">
        <f>CONCATENATE(Data!AI82," ",Data!AJ82)</f>
        <v xml:space="preserve"> </v>
      </c>
    </row>
    <row r="83" spans="1:29" ht="15">
      <c r="A83" s="20" t="str">
        <f>Data!A83</f>
        <v>デモ機</v>
      </c>
      <c r="B83" s="20" t="str">
        <f>Data!C83</f>
        <v>Entire Organization</v>
      </c>
      <c r="C83" s="20" t="str">
        <f>IF(Data!E83=0,"",Data!E83)</f>
        <v/>
      </c>
      <c r="D83" s="26">
        <f t="shared" si="1"/>
        <v>42065.867997650465</v>
      </c>
      <c r="E83" s="27">
        <f>Data!F83</f>
        <v>42065.867997650465</v>
      </c>
      <c r="F83" s="20" t="str">
        <f>Data!G83</f>
        <v>DebugRecord</v>
      </c>
      <c r="G83" s="20">
        <f>Data!H83</f>
        <v>0</v>
      </c>
      <c r="H83" s="20">
        <f>Data!I83</f>
        <v>0</v>
      </c>
      <c r="I83" s="20">
        <f>Data!J83</f>
        <v>0</v>
      </c>
      <c r="J83" s="21" t="str">
        <f>IF(Data!K83=0,"",Data!K83)</f>
        <v/>
      </c>
      <c r="K83" s="22">
        <f>Data!L83</f>
        <v>0</v>
      </c>
      <c r="L83" s="21" t="str">
        <f>IF(Data!N83=0,"",Data!N83)</f>
        <v>InvalidGpsReason</v>
      </c>
      <c r="M83" s="20">
        <f>Data!O83</f>
        <v>0</v>
      </c>
      <c r="N83" s="20">
        <f>Data!P83</f>
        <v>0</v>
      </c>
      <c r="O83" s="20">
        <f>Data!Q83</f>
        <v>0</v>
      </c>
      <c r="P83" s="20">
        <f>Data!R83</f>
        <v>0</v>
      </c>
      <c r="Q83" s="20">
        <f>Data!S83</f>
        <v>0</v>
      </c>
      <c r="R83" s="20">
        <f>Data!T83</f>
        <v>0</v>
      </c>
      <c r="S83" s="20">
        <f>Data!U83</f>
        <v>0</v>
      </c>
      <c r="T83" s="20">
        <f>Data!V83</f>
        <v>0</v>
      </c>
      <c r="U83" s="20">
        <f>Data!W83</f>
        <v>0</v>
      </c>
      <c r="V83" s="20">
        <f>Data!X83</f>
        <v>0</v>
      </c>
      <c r="W83" s="20">
        <f>Data!Y83</f>
        <v>0</v>
      </c>
      <c r="X83" s="20">
        <f>Data!Z83</f>
        <v>0</v>
      </c>
      <c r="Y83" s="22" t="str">
        <f>Data!AL83</f>
        <v>000000000000000000000000000000</v>
      </c>
      <c r="Z83" s="20">
        <f>Data!AC83</f>
        <v>0</v>
      </c>
      <c r="AA83" s="20">
        <f>Data!AE83</f>
        <v>0</v>
      </c>
      <c r="AB83" s="20">
        <f>Data!AG83</f>
        <v>0</v>
      </c>
      <c r="AC83" s="20" t="str">
        <f>CONCATENATE(Data!AI83," ",Data!AJ83)</f>
        <v xml:space="preserve"> </v>
      </c>
    </row>
    <row r="84" spans="1:29" ht="15">
      <c r="A84" s="20" t="str">
        <f>Data!A84</f>
        <v>デモ機</v>
      </c>
      <c r="B84" s="20" t="str">
        <f>Data!C84</f>
        <v>Entire Organization</v>
      </c>
      <c r="C84" s="20" t="str">
        <f>IF(Data!E84=0,"",Data!E84)</f>
        <v/>
      </c>
      <c r="D84" s="26">
        <f t="shared" si="1"/>
        <v>42065.867997650465</v>
      </c>
      <c r="E84" s="27">
        <f>Data!F84</f>
        <v>42065.867997650465</v>
      </c>
      <c r="F84" s="20" t="str">
        <f>Data!G84</f>
        <v>DebugRecord</v>
      </c>
      <c r="G84" s="20">
        <f>Data!H84</f>
        <v>0</v>
      </c>
      <c r="H84" s="20">
        <f>Data!I84</f>
        <v>0</v>
      </c>
      <c r="I84" s="20">
        <f>Data!J84</f>
        <v>0</v>
      </c>
      <c r="J84" s="21" t="str">
        <f>IF(Data!K84=0,"",Data!K84)</f>
        <v/>
      </c>
      <c r="K84" s="22">
        <f>Data!L84</f>
        <v>0</v>
      </c>
      <c r="L84" s="21" t="str">
        <f>IF(Data!N84=0,"",Data!N84)</f>
        <v>MaxValue</v>
      </c>
      <c r="M84" s="20">
        <f>Data!O84</f>
        <v>0</v>
      </c>
      <c r="N84" s="20">
        <f>Data!P84</f>
        <v>0</v>
      </c>
      <c r="O84" s="20">
        <f>Data!Q84</f>
        <v>0</v>
      </c>
      <c r="P84" s="20">
        <f>Data!R84</f>
        <v>0</v>
      </c>
      <c r="Q84" s="20">
        <f>Data!S84</f>
        <v>0</v>
      </c>
      <c r="R84" s="20">
        <f>Data!T84</f>
        <v>0</v>
      </c>
      <c r="S84" s="20">
        <f>Data!U84</f>
        <v>0</v>
      </c>
      <c r="T84" s="20">
        <f>Data!V84</f>
        <v>0</v>
      </c>
      <c r="U84" s="20">
        <f>Data!W84</f>
        <v>0</v>
      </c>
      <c r="V84" s="20">
        <f>Data!X84</f>
        <v>0</v>
      </c>
      <c r="W84" s="20">
        <f>Data!Y84</f>
        <v>0</v>
      </c>
      <c r="X84" s="20">
        <f>Data!Z84</f>
        <v>0</v>
      </c>
      <c r="Y84" s="22" t="str">
        <f>Data!AL84</f>
        <v>000000000000000000000000000000</v>
      </c>
      <c r="Z84" s="20">
        <f>Data!AC84</f>
        <v>0</v>
      </c>
      <c r="AA84" s="20">
        <f>Data!AE84</f>
        <v>0</v>
      </c>
      <c r="AB84" s="20">
        <f>Data!AG84</f>
        <v>0</v>
      </c>
      <c r="AC84" s="20" t="str">
        <f>CONCATENATE(Data!AI84," ",Data!AJ84)</f>
        <v xml:space="preserve"> </v>
      </c>
    </row>
    <row r="85" spans="1:29" ht="15">
      <c r="A85" s="20" t="str">
        <f>Data!A85</f>
        <v>デモ機</v>
      </c>
      <c r="B85" s="20" t="str">
        <f>Data!C85</f>
        <v>Entire Organization</v>
      </c>
      <c r="C85" s="20" t="str">
        <f>IF(Data!E85=0,"",Data!E85)</f>
        <v/>
      </c>
      <c r="D85" s="26">
        <f t="shared" si="1"/>
        <v>42065.867997685185</v>
      </c>
      <c r="E85" s="27">
        <f>Data!F85</f>
        <v>42065.867997685185</v>
      </c>
      <c r="F85" s="20" t="str">
        <f>Data!G85</f>
        <v>EngineStatusRecord</v>
      </c>
      <c r="G85" s="20">
        <f>Data!H85</f>
        <v>0</v>
      </c>
      <c r="H85" s="20">
        <f>Data!I85</f>
        <v>0</v>
      </c>
      <c r="I85" s="20">
        <f>Data!J85</f>
        <v>0</v>
      </c>
      <c r="J85" s="21" t="str">
        <f>IF(Data!K85=0,"",Data!K85)</f>
        <v/>
      </c>
      <c r="K85" s="22">
        <f>Data!L85</f>
        <v>0</v>
      </c>
      <c r="L85" s="21" t="str">
        <f>IF(Data!N85=0,"",Data!N85)</f>
        <v/>
      </c>
      <c r="M85" s="20">
        <f>Data!O85</f>
        <v>0</v>
      </c>
      <c r="N85" s="20">
        <f>Data!P85</f>
        <v>0</v>
      </c>
      <c r="O85" s="20">
        <f>Data!Q85</f>
        <v>0</v>
      </c>
      <c r="P85" s="20">
        <f>Data!R85</f>
        <v>0</v>
      </c>
      <c r="Q85" s="20">
        <f>Data!S85</f>
        <v>0</v>
      </c>
      <c r="R85" s="20">
        <f>Data!T85</f>
        <v>0</v>
      </c>
      <c r="S85" s="20">
        <f>Data!U85</f>
        <v>0</v>
      </c>
      <c r="T85" s="20">
        <f>Data!V85</f>
        <v>0</v>
      </c>
      <c r="U85" s="20">
        <f>Data!W85</f>
        <v>0</v>
      </c>
      <c r="V85" s="20">
        <f>Data!X85</f>
        <v>0</v>
      </c>
      <c r="W85" s="20">
        <f>Data!Y85</f>
        <v>0</v>
      </c>
      <c r="X85" s="20">
        <f>Data!Z85</f>
        <v>0</v>
      </c>
      <c r="Y85" s="22">
        <f>Data!AL85</f>
        <v>0</v>
      </c>
      <c r="Z85" s="20" t="str">
        <f>Data!AC85</f>
        <v>Engine RPM</v>
      </c>
      <c r="AA85" s="20" t="str">
        <f>Data!AE85</f>
        <v/>
      </c>
      <c r="AB85" s="20">
        <f>Data!AG85</f>
        <v>0</v>
      </c>
      <c r="AC85" s="20" t="str">
        <f>CONCATENATE(Data!AI85," ",Data!AJ85)</f>
        <v>1611.5 RPM</v>
      </c>
    </row>
    <row r="86" spans="1:29" ht="15">
      <c r="A86" s="20" t="str">
        <f>Data!A86</f>
        <v>デモ機</v>
      </c>
      <c r="B86" s="20" t="str">
        <f>Data!C86</f>
        <v>Entire Organization</v>
      </c>
      <c r="C86" s="20" t="str">
        <f>IF(Data!E86=0,"",Data!E86)</f>
        <v/>
      </c>
      <c r="D86" s="26">
        <f t="shared" si="1"/>
        <v>42065.867998877315</v>
      </c>
      <c r="E86" s="27">
        <f>Data!F86</f>
        <v>42065.867998877315</v>
      </c>
      <c r="F86" s="20" t="str">
        <f>Data!G86</f>
        <v>DebugRecord</v>
      </c>
      <c r="G86" s="20">
        <f>Data!H86</f>
        <v>0</v>
      </c>
      <c r="H86" s="20">
        <f>Data!I86</f>
        <v>0</v>
      </c>
      <c r="I86" s="20">
        <f>Data!J86</f>
        <v>0</v>
      </c>
      <c r="J86" s="21" t="str">
        <f>IF(Data!K86=0,"",Data!K86)</f>
        <v/>
      </c>
      <c r="K86" s="22">
        <f>Data!L86</f>
        <v>0</v>
      </c>
      <c r="L86" s="21" t="str">
        <f>IF(Data!N86=0,"",Data!N86)</f>
        <v>EnginePidSupportDebug</v>
      </c>
      <c r="M86" s="20">
        <f>Data!O86</f>
        <v>0</v>
      </c>
      <c r="N86" s="20">
        <f>Data!P86</f>
        <v>0</v>
      </c>
      <c r="O86" s="20">
        <f>Data!Q86</f>
        <v>0</v>
      </c>
      <c r="P86" s="20">
        <f>Data!R86</f>
        <v>0</v>
      </c>
      <c r="Q86" s="20">
        <f>Data!S86</f>
        <v>0</v>
      </c>
      <c r="R86" s="20">
        <f>Data!T86</f>
        <v>0</v>
      </c>
      <c r="S86" s="20">
        <f>Data!U86</f>
        <v>0</v>
      </c>
      <c r="T86" s="20">
        <f>Data!V86</f>
        <v>0</v>
      </c>
      <c r="U86" s="20">
        <f>Data!W86</f>
        <v>0</v>
      </c>
      <c r="V86" s="20">
        <f>Data!X86</f>
        <v>0</v>
      </c>
      <c r="W86" s="20">
        <f>Data!Y86</f>
        <v>0</v>
      </c>
      <c r="X86" s="20">
        <f>Data!Z86</f>
        <v>0</v>
      </c>
      <c r="Y86" s="22" t="str">
        <f>Data!AL86</f>
        <v>E90088180011000000000000000000</v>
      </c>
      <c r="Z86" s="20">
        <f>Data!AC86</f>
        <v>0</v>
      </c>
      <c r="AA86" s="20">
        <f>Data!AE86</f>
        <v>0</v>
      </c>
      <c r="AB86" s="20">
        <f>Data!AG86</f>
        <v>0</v>
      </c>
      <c r="AC86" s="20" t="str">
        <f>CONCATENATE(Data!AI86," ",Data!AJ86)</f>
        <v xml:space="preserve"> </v>
      </c>
    </row>
    <row r="87" spans="1:29" ht="15">
      <c r="A87" s="20" t="str">
        <f>Data!A87</f>
        <v>デモ機</v>
      </c>
      <c r="B87" s="20" t="str">
        <f>Data!C87</f>
        <v>Entire Organization</v>
      </c>
      <c r="C87" s="20" t="str">
        <f>IF(Data!E87=0,"",Data!E87)</f>
        <v/>
      </c>
      <c r="D87" s="26">
        <f t="shared" si="1"/>
        <v>42065.867998877315</v>
      </c>
      <c r="E87" s="27">
        <f>Data!F87</f>
        <v>42065.867998877315</v>
      </c>
      <c r="F87" s="20" t="str">
        <f>Data!G87</f>
        <v>DebugRecord</v>
      </c>
      <c r="G87" s="20">
        <f>Data!H87</f>
        <v>0</v>
      </c>
      <c r="H87" s="20">
        <f>Data!I87</f>
        <v>0</v>
      </c>
      <c r="I87" s="20">
        <f>Data!J87</f>
        <v>0</v>
      </c>
      <c r="J87" s="21" t="str">
        <f>IF(Data!K87=0,"",Data!K87)</f>
        <v/>
      </c>
      <c r="K87" s="22">
        <f>Data!L87</f>
        <v>0</v>
      </c>
      <c r="L87" s="21" t="str">
        <f>IF(Data!N87=0,"",Data!N87)</f>
        <v>EnginePidSupportDebug</v>
      </c>
      <c r="M87" s="20">
        <f>Data!O87</f>
        <v>0</v>
      </c>
      <c r="N87" s="20">
        <f>Data!P87</f>
        <v>0</v>
      </c>
      <c r="O87" s="20">
        <f>Data!Q87</f>
        <v>0</v>
      </c>
      <c r="P87" s="20">
        <f>Data!R87</f>
        <v>0</v>
      </c>
      <c r="Q87" s="20">
        <f>Data!S87</f>
        <v>0</v>
      </c>
      <c r="R87" s="20">
        <f>Data!T87</f>
        <v>0</v>
      </c>
      <c r="S87" s="20">
        <f>Data!U87</f>
        <v>0</v>
      </c>
      <c r="T87" s="20">
        <f>Data!V87</f>
        <v>0</v>
      </c>
      <c r="U87" s="20">
        <f>Data!W87</f>
        <v>0</v>
      </c>
      <c r="V87" s="20">
        <f>Data!X87</f>
        <v>0</v>
      </c>
      <c r="W87" s="20">
        <f>Data!Y87</f>
        <v>0</v>
      </c>
      <c r="X87" s="20">
        <f>Data!Z87</f>
        <v>0</v>
      </c>
      <c r="Y87" s="22" t="str">
        <f>Data!AL87</f>
        <v>E800BE3FA813000000000000000000</v>
      </c>
      <c r="Z87" s="20">
        <f>Data!AC87</f>
        <v>0</v>
      </c>
      <c r="AA87" s="20">
        <f>Data!AE87</f>
        <v>0</v>
      </c>
      <c r="AB87" s="20">
        <f>Data!AG87</f>
        <v>0</v>
      </c>
      <c r="AC87" s="20" t="str">
        <f>CONCATENATE(Data!AI87," ",Data!AJ87)</f>
        <v xml:space="preserve"> </v>
      </c>
    </row>
    <row r="88" spans="1:29" ht="15">
      <c r="A88" s="20" t="str">
        <f>Data!A88</f>
        <v>デモ機</v>
      </c>
      <c r="B88" s="20" t="str">
        <f>Data!C88</f>
        <v>Entire Organization</v>
      </c>
      <c r="C88" s="20" t="str">
        <f>IF(Data!E88=0,"",Data!E88)</f>
        <v/>
      </c>
      <c r="D88" s="26">
        <f t="shared" si="1"/>
        <v>42065.868006331017</v>
      </c>
      <c r="E88" s="27">
        <f>Data!F88</f>
        <v>42065.868006331017</v>
      </c>
      <c r="F88" s="20" t="str">
        <f>Data!G88</f>
        <v>DebugRecord</v>
      </c>
      <c r="G88" s="20">
        <f>Data!H88</f>
        <v>0</v>
      </c>
      <c r="H88" s="20">
        <f>Data!I88</f>
        <v>0</v>
      </c>
      <c r="I88" s="20">
        <f>Data!J88</f>
        <v>0</v>
      </c>
      <c r="J88" s="21" t="str">
        <f>IF(Data!K88=0,"",Data!K88)</f>
        <v/>
      </c>
      <c r="K88" s="22">
        <f>Data!L88</f>
        <v>0</v>
      </c>
      <c r="L88" s="21" t="str">
        <f>IF(Data!N88=0,"",Data!N88)</f>
        <v>InvalidDate</v>
      </c>
      <c r="M88" s="20">
        <f>Data!O88</f>
        <v>0</v>
      </c>
      <c r="N88" s="20">
        <f>Data!P88</f>
        <v>0</v>
      </c>
      <c r="O88" s="20">
        <f>Data!Q88</f>
        <v>0</v>
      </c>
      <c r="P88" s="20">
        <f>Data!R88</f>
        <v>0</v>
      </c>
      <c r="Q88" s="20">
        <f>Data!S88</f>
        <v>0</v>
      </c>
      <c r="R88" s="20">
        <f>Data!T88</f>
        <v>0</v>
      </c>
      <c r="S88" s="20">
        <f>Data!U88</f>
        <v>0</v>
      </c>
      <c r="T88" s="20">
        <f>Data!V88</f>
        <v>0</v>
      </c>
      <c r="U88" s="20">
        <f>Data!W88</f>
        <v>0</v>
      </c>
      <c r="V88" s="20">
        <f>Data!X88</f>
        <v>0</v>
      </c>
      <c r="W88" s="20">
        <f>Data!Y88</f>
        <v>0</v>
      </c>
      <c r="X88" s="20">
        <f>Data!Z88</f>
        <v>0</v>
      </c>
      <c r="Y88" s="22" t="str">
        <f>Data!AL88</f>
        <v>6F49000000C149EBDF0703020B3103</v>
      </c>
      <c r="Z88" s="20">
        <f>Data!AC88</f>
        <v>0</v>
      </c>
      <c r="AA88" s="20">
        <f>Data!AE88</f>
        <v>0</v>
      </c>
      <c r="AB88" s="20">
        <f>Data!AG88</f>
        <v>0</v>
      </c>
      <c r="AC88" s="20" t="str">
        <f>CONCATENATE(Data!AI88," ",Data!AJ88)</f>
        <v xml:space="preserve"> </v>
      </c>
    </row>
    <row r="89" spans="1:29" ht="15">
      <c r="A89" s="20" t="str">
        <f>Data!A89</f>
        <v>デモ機</v>
      </c>
      <c r="B89" s="20" t="str">
        <f>Data!C89</f>
        <v>Entire Organization</v>
      </c>
      <c r="C89" s="20" t="str">
        <f>IF(Data!E89=0,"",Data!E89)</f>
        <v/>
      </c>
      <c r="D89" s="26">
        <f t="shared" si="1"/>
        <v>42065.868006331017</v>
      </c>
      <c r="E89" s="27">
        <f>Data!F89</f>
        <v>42065.868006331017</v>
      </c>
      <c r="F89" s="20" t="str">
        <f>Data!G89</f>
        <v>DebugRecord</v>
      </c>
      <c r="G89" s="20">
        <f>Data!H89</f>
        <v>0</v>
      </c>
      <c r="H89" s="20">
        <f>Data!I89</f>
        <v>0</v>
      </c>
      <c r="I89" s="20">
        <f>Data!J89</f>
        <v>0</v>
      </c>
      <c r="J89" s="21" t="str">
        <f>IF(Data!K89=0,"",Data!K89)</f>
        <v/>
      </c>
      <c r="K89" s="22">
        <f>Data!L89</f>
        <v>0</v>
      </c>
      <c r="L89" s="21" t="str">
        <f>IF(Data!N89=0,"",Data!N89)</f>
        <v>UnknownData</v>
      </c>
      <c r="M89" s="20">
        <f>Data!O89</f>
        <v>0</v>
      </c>
      <c r="N89" s="20">
        <f>Data!P89</f>
        <v>0</v>
      </c>
      <c r="O89" s="20">
        <f>Data!Q89</f>
        <v>0</v>
      </c>
      <c r="P89" s="20">
        <f>Data!R89</f>
        <v>0</v>
      </c>
      <c r="Q89" s="20">
        <f>Data!S89</f>
        <v>0</v>
      </c>
      <c r="R89" s="20">
        <f>Data!T89</f>
        <v>0</v>
      </c>
      <c r="S89" s="20">
        <f>Data!U89</f>
        <v>0</v>
      </c>
      <c r="T89" s="20">
        <f>Data!V89</f>
        <v>0</v>
      </c>
      <c r="U89" s="20">
        <f>Data!W89</f>
        <v>0</v>
      </c>
      <c r="V89" s="20">
        <f>Data!X89</f>
        <v>0</v>
      </c>
      <c r="W89" s="20">
        <f>Data!Y89</f>
        <v>0</v>
      </c>
      <c r="X89" s="20">
        <f>Data!Z89</f>
        <v>0</v>
      </c>
      <c r="Y89" s="22" t="str">
        <f>Data!AL89</f>
        <v>12012114008081B007090000007E2B</v>
      </c>
      <c r="Z89" s="20">
        <f>Data!AC89</f>
        <v>0</v>
      </c>
      <c r="AA89" s="20">
        <f>Data!AE89</f>
        <v>0</v>
      </c>
      <c r="AB89" s="20">
        <f>Data!AG89</f>
        <v>0</v>
      </c>
      <c r="AC89" s="20" t="str">
        <f>CONCATENATE(Data!AI89," ",Data!AJ89)</f>
        <v xml:space="preserve"> </v>
      </c>
    </row>
    <row r="90" spans="1:29" ht="15">
      <c r="A90" s="20" t="str">
        <f>Data!A90</f>
        <v>デモ機</v>
      </c>
      <c r="B90" s="20" t="str">
        <f>Data!C90</f>
        <v>Entire Organization</v>
      </c>
      <c r="C90" s="20" t="str">
        <f>IF(Data!E90=0,"",Data!E90)</f>
        <v/>
      </c>
      <c r="D90" s="26">
        <f t="shared" si="1"/>
        <v>42065.868006331017</v>
      </c>
      <c r="E90" s="27">
        <f>Data!F90</f>
        <v>42065.868006331017</v>
      </c>
      <c r="F90" s="20" t="str">
        <f>Data!G90</f>
        <v>DebugRecord</v>
      </c>
      <c r="G90" s="20">
        <f>Data!H90</f>
        <v>0</v>
      </c>
      <c r="H90" s="20">
        <f>Data!I90</f>
        <v>0</v>
      </c>
      <c r="I90" s="20">
        <f>Data!J90</f>
        <v>0</v>
      </c>
      <c r="J90" s="21" t="str">
        <f>IF(Data!K90=0,"",Data!K90)</f>
        <v/>
      </c>
      <c r="K90" s="22">
        <f>Data!L90</f>
        <v>0</v>
      </c>
      <c r="L90" s="21" t="str">
        <f>IF(Data!N90=0,"",Data!N90)</f>
        <v>UnknownData</v>
      </c>
      <c r="M90" s="20">
        <f>Data!O90</f>
        <v>0</v>
      </c>
      <c r="N90" s="20">
        <f>Data!P90</f>
        <v>0</v>
      </c>
      <c r="O90" s="20">
        <f>Data!Q90</f>
        <v>0</v>
      </c>
      <c r="P90" s="20">
        <f>Data!R90</f>
        <v>0</v>
      </c>
      <c r="Q90" s="20">
        <f>Data!S90</f>
        <v>0</v>
      </c>
      <c r="R90" s="20">
        <f>Data!T90</f>
        <v>0</v>
      </c>
      <c r="S90" s="20">
        <f>Data!U90</f>
        <v>0</v>
      </c>
      <c r="T90" s="20">
        <f>Data!V90</f>
        <v>0</v>
      </c>
      <c r="U90" s="20">
        <f>Data!W90</f>
        <v>0</v>
      </c>
      <c r="V90" s="20">
        <f>Data!X90</f>
        <v>0</v>
      </c>
      <c r="W90" s="20">
        <f>Data!Y90</f>
        <v>0</v>
      </c>
      <c r="X90" s="20">
        <f>Data!Z90</f>
        <v>0</v>
      </c>
      <c r="Y90" s="22" t="str">
        <f>Data!AL90</f>
        <v>130200DF0703020B31350301000000</v>
      </c>
      <c r="Z90" s="20">
        <f>Data!AC90</f>
        <v>0</v>
      </c>
      <c r="AA90" s="20">
        <f>Data!AE90</f>
        <v>0</v>
      </c>
      <c r="AB90" s="20">
        <f>Data!AG90</f>
        <v>0</v>
      </c>
      <c r="AC90" s="20" t="str">
        <f>CONCATENATE(Data!AI90," ",Data!AJ90)</f>
        <v xml:space="preserve"> </v>
      </c>
    </row>
    <row r="91" spans="1:29" ht="15">
      <c r="A91" s="20" t="str">
        <f>Data!A91</f>
        <v>デモ機</v>
      </c>
      <c r="B91" s="20" t="str">
        <f>Data!C91</f>
        <v>Entire Organization</v>
      </c>
      <c r="C91" s="20" t="str">
        <f>IF(Data!E91=0,"",Data!E91)</f>
        <v/>
      </c>
      <c r="D91" s="26">
        <f t="shared" si="1"/>
        <v>42065.868006331017</v>
      </c>
      <c r="E91" s="27">
        <f>Data!F91</f>
        <v>42065.868006331017</v>
      </c>
      <c r="F91" s="20" t="str">
        <f>Data!G91</f>
        <v>DebugRecord</v>
      </c>
      <c r="G91" s="20">
        <f>Data!H91</f>
        <v>0</v>
      </c>
      <c r="H91" s="20">
        <f>Data!I91</f>
        <v>0</v>
      </c>
      <c r="I91" s="20">
        <f>Data!J91</f>
        <v>0</v>
      </c>
      <c r="J91" s="21" t="str">
        <f>IF(Data!K91=0,"",Data!K91)</f>
        <v/>
      </c>
      <c r="K91" s="22">
        <f>Data!L91</f>
        <v>0</v>
      </c>
      <c r="L91" s="21" t="str">
        <f>IF(Data!N91=0,"",Data!N91)</f>
        <v>InvalidDate</v>
      </c>
      <c r="M91" s="20">
        <f>Data!O91</f>
        <v>0</v>
      </c>
      <c r="N91" s="20">
        <f>Data!P91</f>
        <v>0</v>
      </c>
      <c r="O91" s="20">
        <f>Data!Q91</f>
        <v>0</v>
      </c>
      <c r="P91" s="20">
        <f>Data!R91</f>
        <v>0</v>
      </c>
      <c r="Q91" s="20">
        <f>Data!S91</f>
        <v>0</v>
      </c>
      <c r="R91" s="20">
        <f>Data!T91</f>
        <v>0</v>
      </c>
      <c r="S91" s="20">
        <f>Data!U91</f>
        <v>0</v>
      </c>
      <c r="T91" s="20">
        <f>Data!V91</f>
        <v>0</v>
      </c>
      <c r="U91" s="20">
        <f>Data!W91</f>
        <v>0</v>
      </c>
      <c r="V91" s="20">
        <f>Data!X91</f>
        <v>0</v>
      </c>
      <c r="W91" s="20">
        <f>Data!Y91</f>
        <v>0</v>
      </c>
      <c r="X91" s="20">
        <f>Data!Z91</f>
        <v>0</v>
      </c>
      <c r="Y91" s="22" t="str">
        <f>Data!AL91</f>
        <v>6F49000000C185C301070107010000</v>
      </c>
      <c r="Z91" s="20">
        <f>Data!AC91</f>
        <v>0</v>
      </c>
      <c r="AA91" s="20">
        <f>Data!AE91</f>
        <v>0</v>
      </c>
      <c r="AB91" s="20">
        <f>Data!AG91</f>
        <v>0</v>
      </c>
      <c r="AC91" s="20" t="str">
        <f>CONCATENATE(Data!AI91," ",Data!AJ91)</f>
        <v xml:space="preserve"> </v>
      </c>
    </row>
    <row r="92" spans="1:29" ht="15">
      <c r="A92" s="20" t="str">
        <f>Data!A92</f>
        <v>デモ機</v>
      </c>
      <c r="B92" s="20" t="str">
        <f>Data!C92</f>
        <v>Entire Organization</v>
      </c>
      <c r="C92" s="20" t="str">
        <f>IF(Data!E92=0,"",Data!E92)</f>
        <v/>
      </c>
      <c r="D92" s="26">
        <f t="shared" si="1"/>
        <v>42065.868006331017</v>
      </c>
      <c r="E92" s="27">
        <f>Data!F92</f>
        <v>42065.868006331017</v>
      </c>
      <c r="F92" s="20" t="str">
        <f>Data!G92</f>
        <v>DebugRecord</v>
      </c>
      <c r="G92" s="20">
        <f>Data!H92</f>
        <v>0</v>
      </c>
      <c r="H92" s="20">
        <f>Data!I92</f>
        <v>0</v>
      </c>
      <c r="I92" s="20">
        <f>Data!J92</f>
        <v>0</v>
      </c>
      <c r="J92" s="21" t="str">
        <f>IF(Data!K92=0,"",Data!K92)</f>
        <v/>
      </c>
      <c r="K92" s="22">
        <f>Data!L92</f>
        <v>0</v>
      </c>
      <c r="L92" s="21" t="str">
        <f>IF(Data!N92=0,"",Data!N92)</f>
        <v>InvalidDate</v>
      </c>
      <c r="M92" s="20">
        <f>Data!O92</f>
        <v>0</v>
      </c>
      <c r="N92" s="20">
        <f>Data!P92</f>
        <v>0</v>
      </c>
      <c r="O92" s="20">
        <f>Data!Q92</f>
        <v>0</v>
      </c>
      <c r="P92" s="20">
        <f>Data!R92</f>
        <v>0</v>
      </c>
      <c r="Q92" s="20">
        <f>Data!S92</f>
        <v>0</v>
      </c>
      <c r="R92" s="20">
        <f>Data!T92</f>
        <v>0</v>
      </c>
      <c r="S92" s="20">
        <f>Data!U92</f>
        <v>0</v>
      </c>
      <c r="T92" s="20">
        <f>Data!V92</f>
        <v>0</v>
      </c>
      <c r="U92" s="20">
        <f>Data!W92</f>
        <v>0</v>
      </c>
      <c r="V92" s="20">
        <f>Data!X92</f>
        <v>0</v>
      </c>
      <c r="W92" s="20">
        <f>Data!Y92</f>
        <v>0</v>
      </c>
      <c r="X92" s="20">
        <f>Data!Z92</f>
        <v>0</v>
      </c>
      <c r="Y92" s="22" t="str">
        <f>Data!AL92</f>
        <v>704A0000001C52E900881800110000</v>
      </c>
      <c r="Z92" s="20">
        <f>Data!AC92</f>
        <v>0</v>
      </c>
      <c r="AA92" s="20">
        <f>Data!AE92</f>
        <v>0</v>
      </c>
      <c r="AB92" s="20">
        <f>Data!AG92</f>
        <v>0</v>
      </c>
      <c r="AC92" s="20" t="str">
        <f>CONCATENATE(Data!AI92," ",Data!AJ92)</f>
        <v xml:space="preserve"> </v>
      </c>
    </row>
    <row r="93" spans="1:29" ht="15">
      <c r="A93" s="20" t="str">
        <f>Data!A93</f>
        <v>デモ機</v>
      </c>
      <c r="B93" s="20" t="str">
        <f>Data!C93</f>
        <v>Entire Organization</v>
      </c>
      <c r="C93" s="20" t="str">
        <f>IF(Data!E93=0,"",Data!E93)</f>
        <v/>
      </c>
      <c r="D93" s="26">
        <f t="shared" si="1"/>
        <v>42065.868006331017</v>
      </c>
      <c r="E93" s="27">
        <f>Data!F93</f>
        <v>42065.868006331017</v>
      </c>
      <c r="F93" s="20" t="str">
        <f>Data!G93</f>
        <v>DebugRecord</v>
      </c>
      <c r="G93" s="20">
        <f>Data!H93</f>
        <v>0</v>
      </c>
      <c r="H93" s="20">
        <f>Data!I93</f>
        <v>0</v>
      </c>
      <c r="I93" s="20">
        <f>Data!J93</f>
        <v>0</v>
      </c>
      <c r="J93" s="21" t="str">
        <f>IF(Data!K93=0,"",Data!K93)</f>
        <v/>
      </c>
      <c r="K93" s="22">
        <f>Data!L93</f>
        <v>0</v>
      </c>
      <c r="L93" s="21" t="str">
        <f>IF(Data!N93=0,"",Data!N93)</f>
        <v>InvalidDate</v>
      </c>
      <c r="M93" s="20">
        <f>Data!O93</f>
        <v>0</v>
      </c>
      <c r="N93" s="20">
        <f>Data!P93</f>
        <v>0</v>
      </c>
      <c r="O93" s="20">
        <f>Data!Q93</f>
        <v>0</v>
      </c>
      <c r="P93" s="20">
        <f>Data!R93</f>
        <v>0</v>
      </c>
      <c r="Q93" s="20">
        <f>Data!S93</f>
        <v>0</v>
      </c>
      <c r="R93" s="20">
        <f>Data!T93</f>
        <v>0</v>
      </c>
      <c r="S93" s="20">
        <f>Data!U93</f>
        <v>0</v>
      </c>
      <c r="T93" s="20">
        <f>Data!V93</f>
        <v>0</v>
      </c>
      <c r="U93" s="20">
        <f>Data!W93</f>
        <v>0</v>
      </c>
      <c r="V93" s="20">
        <f>Data!X93</f>
        <v>0</v>
      </c>
      <c r="W93" s="20">
        <f>Data!Y93</f>
        <v>0</v>
      </c>
      <c r="X93" s="20">
        <f>Data!Z93</f>
        <v>0</v>
      </c>
      <c r="Y93" s="22" t="str">
        <f>Data!AL93</f>
        <v>704A0000001D52E800BE3FA8130000</v>
      </c>
      <c r="Z93" s="20">
        <f>Data!AC93</f>
        <v>0</v>
      </c>
      <c r="AA93" s="20">
        <f>Data!AE93</f>
        <v>0</v>
      </c>
      <c r="AB93" s="20">
        <f>Data!AG93</f>
        <v>0</v>
      </c>
      <c r="AC93" s="20" t="str">
        <f>CONCATENATE(Data!AI93," ",Data!AJ93)</f>
        <v xml:space="preserve"> </v>
      </c>
    </row>
    <row r="94" spans="1:29" ht="15">
      <c r="A94" s="20" t="str">
        <f>Data!A94</f>
        <v>デモ機</v>
      </c>
      <c r="B94" s="20" t="str">
        <f>Data!C94</f>
        <v>Entire Organization</v>
      </c>
      <c r="C94" s="20" t="str">
        <f>IF(Data!E94=0,"",Data!E94)</f>
        <v/>
      </c>
      <c r="D94" s="26">
        <f t="shared" si="1"/>
        <v>42065.868006331017</v>
      </c>
      <c r="E94" s="27">
        <f>Data!F94</f>
        <v>42065.868006331017</v>
      </c>
      <c r="F94" s="20" t="str">
        <f>Data!G94</f>
        <v>DebugRecord</v>
      </c>
      <c r="G94" s="20">
        <f>Data!H94</f>
        <v>0</v>
      </c>
      <c r="H94" s="20">
        <f>Data!I94</f>
        <v>0</v>
      </c>
      <c r="I94" s="20">
        <f>Data!J94</f>
        <v>0</v>
      </c>
      <c r="J94" s="21" t="str">
        <f>IF(Data!K94=0,"",Data!K94)</f>
        <v/>
      </c>
      <c r="K94" s="22">
        <f>Data!L94</f>
        <v>0</v>
      </c>
      <c r="L94" s="21" t="str">
        <f>IF(Data!N94=0,"",Data!N94)</f>
        <v>InvalidDate</v>
      </c>
      <c r="M94" s="20">
        <f>Data!O94</f>
        <v>0</v>
      </c>
      <c r="N94" s="20">
        <f>Data!P94</f>
        <v>0</v>
      </c>
      <c r="O94" s="20">
        <f>Data!Q94</f>
        <v>0</v>
      </c>
      <c r="P94" s="20">
        <f>Data!R94</f>
        <v>0</v>
      </c>
      <c r="Q94" s="20">
        <f>Data!S94</f>
        <v>0</v>
      </c>
      <c r="R94" s="20">
        <f>Data!T94</f>
        <v>0</v>
      </c>
      <c r="S94" s="20">
        <f>Data!U94</f>
        <v>0</v>
      </c>
      <c r="T94" s="20">
        <f>Data!V94</f>
        <v>0</v>
      </c>
      <c r="U94" s="20">
        <f>Data!W94</f>
        <v>0</v>
      </c>
      <c r="V94" s="20">
        <f>Data!X94</f>
        <v>0</v>
      </c>
      <c r="W94" s="20">
        <f>Data!Y94</f>
        <v>0</v>
      </c>
      <c r="X94" s="20">
        <f>Data!Z94</f>
        <v>0</v>
      </c>
      <c r="Y94" s="22" t="str">
        <f>Data!AL94</f>
        <v>204A00000057331568155320002800</v>
      </c>
      <c r="Z94" s="20">
        <f>Data!AC94</f>
        <v>0</v>
      </c>
      <c r="AA94" s="20">
        <f>Data!AE94</f>
        <v>0</v>
      </c>
      <c r="AB94" s="20">
        <f>Data!AG94</f>
        <v>0</v>
      </c>
      <c r="AC94" s="20" t="str">
        <f>CONCATENATE(Data!AI94," ",Data!AJ94)</f>
        <v xml:space="preserve"> </v>
      </c>
    </row>
    <row r="95" spans="1:29" ht="15">
      <c r="A95" s="20" t="str">
        <f>Data!A95</f>
        <v>デモ機</v>
      </c>
      <c r="B95" s="20" t="str">
        <f>Data!C95</f>
        <v>Entire Organization</v>
      </c>
      <c r="C95" s="20" t="str">
        <f>IF(Data!E95=0,"",Data!E95)</f>
        <v/>
      </c>
      <c r="D95" s="26">
        <f t="shared" si="1"/>
        <v>42065.868010532409</v>
      </c>
      <c r="E95" s="27">
        <f>Data!F95</f>
        <v>42065.868010532409</v>
      </c>
      <c r="F95" s="20" t="str">
        <f>Data!G95</f>
        <v>DebugRecord</v>
      </c>
      <c r="G95" s="20">
        <f>Data!H95</f>
        <v>0</v>
      </c>
      <c r="H95" s="20">
        <f>Data!I95</f>
        <v>0</v>
      </c>
      <c r="I95" s="20">
        <f>Data!J95</f>
        <v>0</v>
      </c>
      <c r="J95" s="21" t="str">
        <f>IF(Data!K95=0,"",Data!K95)</f>
        <v/>
      </c>
      <c r="K95" s="22">
        <f>Data!L95</f>
        <v>0</v>
      </c>
      <c r="L95" s="21" t="str">
        <f>IF(Data!N95=0,"",Data!N95)</f>
        <v>EnginePidSupportDebug</v>
      </c>
      <c r="M95" s="20">
        <f>Data!O95</f>
        <v>0</v>
      </c>
      <c r="N95" s="20">
        <f>Data!P95</f>
        <v>0</v>
      </c>
      <c r="O95" s="20">
        <f>Data!Q95</f>
        <v>0</v>
      </c>
      <c r="P95" s="20">
        <f>Data!R95</f>
        <v>0</v>
      </c>
      <c r="Q95" s="20">
        <f>Data!S95</f>
        <v>0</v>
      </c>
      <c r="R95" s="20">
        <f>Data!T95</f>
        <v>0</v>
      </c>
      <c r="S95" s="20">
        <f>Data!U95</f>
        <v>0</v>
      </c>
      <c r="T95" s="20">
        <f>Data!V95</f>
        <v>0</v>
      </c>
      <c r="U95" s="20">
        <f>Data!W95</f>
        <v>0</v>
      </c>
      <c r="V95" s="20">
        <f>Data!X95</f>
        <v>0</v>
      </c>
      <c r="W95" s="20">
        <f>Data!Y95</f>
        <v>0</v>
      </c>
      <c r="X95" s="20">
        <f>Data!Z95</f>
        <v>0</v>
      </c>
      <c r="Y95" s="22" t="str">
        <f>Data!AL95</f>
        <v>E92000000001000000000000000000</v>
      </c>
      <c r="Z95" s="20">
        <f>Data!AC95</f>
        <v>0</v>
      </c>
      <c r="AA95" s="20">
        <f>Data!AE95</f>
        <v>0</v>
      </c>
      <c r="AB95" s="20">
        <f>Data!AG95</f>
        <v>0</v>
      </c>
      <c r="AC95" s="20" t="str">
        <f>CONCATENATE(Data!AI95," ",Data!AJ95)</f>
        <v xml:space="preserve"> </v>
      </c>
    </row>
    <row r="96" spans="1:29" ht="15">
      <c r="A96" s="20" t="str">
        <f>Data!A96</f>
        <v>デモ機</v>
      </c>
      <c r="B96" s="20" t="str">
        <f>Data!C96</f>
        <v>Entire Organization</v>
      </c>
      <c r="C96" s="20" t="str">
        <f>IF(Data!E96=0,"",Data!E96)</f>
        <v/>
      </c>
      <c r="D96" s="26">
        <f t="shared" si="1"/>
        <v>42065.868010532409</v>
      </c>
      <c r="E96" s="27">
        <f>Data!F96</f>
        <v>42065.868010532409</v>
      </c>
      <c r="F96" s="20" t="str">
        <f>Data!G96</f>
        <v>DebugRecord</v>
      </c>
      <c r="G96" s="20">
        <f>Data!H96</f>
        <v>0</v>
      </c>
      <c r="H96" s="20">
        <f>Data!I96</f>
        <v>0</v>
      </c>
      <c r="I96" s="20">
        <f>Data!J96</f>
        <v>0</v>
      </c>
      <c r="J96" s="21" t="str">
        <f>IF(Data!K96=0,"",Data!K96)</f>
        <v/>
      </c>
      <c r="K96" s="22">
        <f>Data!L96</f>
        <v>0</v>
      </c>
      <c r="L96" s="21" t="str">
        <f>IF(Data!N96=0,"",Data!N96)</f>
        <v>EnginePidSupportDebug</v>
      </c>
      <c r="M96" s="20">
        <f>Data!O96</f>
        <v>0</v>
      </c>
      <c r="N96" s="20">
        <f>Data!P96</f>
        <v>0</v>
      </c>
      <c r="O96" s="20">
        <f>Data!Q96</f>
        <v>0</v>
      </c>
      <c r="P96" s="20">
        <f>Data!R96</f>
        <v>0</v>
      </c>
      <c r="Q96" s="20">
        <f>Data!S96</f>
        <v>0</v>
      </c>
      <c r="R96" s="20">
        <f>Data!T96</f>
        <v>0</v>
      </c>
      <c r="S96" s="20">
        <f>Data!U96</f>
        <v>0</v>
      </c>
      <c r="T96" s="20">
        <f>Data!V96</f>
        <v>0</v>
      </c>
      <c r="U96" s="20">
        <f>Data!W96</f>
        <v>0</v>
      </c>
      <c r="V96" s="20">
        <f>Data!X96</f>
        <v>0</v>
      </c>
      <c r="W96" s="20">
        <f>Data!Y96</f>
        <v>0</v>
      </c>
      <c r="X96" s="20">
        <f>Data!Z96</f>
        <v>0</v>
      </c>
      <c r="Y96" s="22" t="str">
        <f>Data!AL96</f>
        <v>E82080159011000000000000000000</v>
      </c>
      <c r="Z96" s="20">
        <f>Data!AC96</f>
        <v>0</v>
      </c>
      <c r="AA96" s="20">
        <f>Data!AE96</f>
        <v>0</v>
      </c>
      <c r="AB96" s="20">
        <f>Data!AG96</f>
        <v>0</v>
      </c>
      <c r="AC96" s="20" t="str">
        <f>CONCATENATE(Data!AI96," ",Data!AJ96)</f>
        <v xml:space="preserve"> </v>
      </c>
    </row>
    <row r="97" spans="1:29" ht="15">
      <c r="A97" s="20" t="str">
        <f>Data!A97</f>
        <v>デモ機</v>
      </c>
      <c r="B97" s="20" t="str">
        <f>Data!C97</f>
        <v>Entire Organization</v>
      </c>
      <c r="C97" s="20" t="str">
        <f>IF(Data!E97=0,"",Data!E97)</f>
        <v/>
      </c>
      <c r="D97" s="26">
        <f t="shared" si="1"/>
        <v>42065.868019641202</v>
      </c>
      <c r="E97" s="27">
        <f>Data!F97</f>
        <v>42065.868019641202</v>
      </c>
      <c r="F97" s="20" t="str">
        <f>Data!G97</f>
        <v>EngineStatusRecord</v>
      </c>
      <c r="G97" s="20">
        <f>Data!H97</f>
        <v>0</v>
      </c>
      <c r="H97" s="20">
        <f>Data!I97</f>
        <v>0</v>
      </c>
      <c r="I97" s="20">
        <f>Data!J97</f>
        <v>0</v>
      </c>
      <c r="J97" s="21" t="str">
        <f>IF(Data!K97=0,"",Data!K97)</f>
        <v/>
      </c>
      <c r="K97" s="22">
        <f>Data!L97</f>
        <v>0</v>
      </c>
      <c r="L97" s="21" t="str">
        <f>IF(Data!N97=0,"",Data!N97)</f>
        <v/>
      </c>
      <c r="M97" s="20">
        <f>Data!O97</f>
        <v>0</v>
      </c>
      <c r="N97" s="20">
        <f>Data!P97</f>
        <v>0</v>
      </c>
      <c r="O97" s="20">
        <f>Data!Q97</f>
        <v>0</v>
      </c>
      <c r="P97" s="20">
        <f>Data!R97</f>
        <v>0</v>
      </c>
      <c r="Q97" s="20">
        <f>Data!S97</f>
        <v>0</v>
      </c>
      <c r="R97" s="20">
        <f>Data!T97</f>
        <v>0</v>
      </c>
      <c r="S97" s="20">
        <f>Data!U97</f>
        <v>0</v>
      </c>
      <c r="T97" s="20">
        <f>Data!V97</f>
        <v>0</v>
      </c>
      <c r="U97" s="20">
        <f>Data!W97</f>
        <v>0</v>
      </c>
      <c r="V97" s="20">
        <f>Data!X97</f>
        <v>0</v>
      </c>
      <c r="W97" s="20">
        <f>Data!Y97</f>
        <v>0</v>
      </c>
      <c r="X97" s="20">
        <f>Data!Z97</f>
        <v>0</v>
      </c>
      <c r="Y97" s="22">
        <f>Data!AL97</f>
        <v>0</v>
      </c>
      <c r="Z97" s="20" t="str">
        <f>Data!AC97</f>
        <v>Cranking voltage</v>
      </c>
      <c r="AA97" s="20" t="str">
        <f>Data!AE97</f>
        <v/>
      </c>
      <c r="AB97" s="20">
        <f>Data!AG97</f>
        <v>0</v>
      </c>
      <c r="AC97" s="20" t="str">
        <f>CONCATENATE(Data!AI97," ",Data!AJ97)</f>
        <v>14.00374 V</v>
      </c>
    </row>
    <row r="98" spans="1:29" ht="15">
      <c r="A98" s="20" t="str">
        <f>Data!A98</f>
        <v>デモ機</v>
      </c>
      <c r="B98" s="20" t="str">
        <f>Data!C98</f>
        <v>Entire Organization</v>
      </c>
      <c r="C98" s="20" t="str">
        <f>IF(Data!E98=0,"",Data!E98)</f>
        <v/>
      </c>
      <c r="D98" s="26">
        <f t="shared" si="1"/>
        <v>42065.868022025461</v>
      </c>
      <c r="E98" s="27">
        <f>Data!F98</f>
        <v>42065.868022025461</v>
      </c>
      <c r="F98" s="20" t="str">
        <f>Data!G98</f>
        <v>DebugRecord</v>
      </c>
      <c r="G98" s="20">
        <f>Data!H98</f>
        <v>0</v>
      </c>
      <c r="H98" s="20">
        <f>Data!I98</f>
        <v>0</v>
      </c>
      <c r="I98" s="20">
        <f>Data!J98</f>
        <v>0</v>
      </c>
      <c r="J98" s="21" t="str">
        <f>IF(Data!K98=0,"",Data!K98)</f>
        <v/>
      </c>
      <c r="K98" s="22">
        <f>Data!L98</f>
        <v>0</v>
      </c>
      <c r="L98" s="21" t="str">
        <f>IF(Data!N98=0,"",Data!N98)</f>
        <v>EnginePidSupportDebug</v>
      </c>
      <c r="M98" s="20">
        <f>Data!O98</f>
        <v>0</v>
      </c>
      <c r="N98" s="20">
        <f>Data!P98</f>
        <v>0</v>
      </c>
      <c r="O98" s="20">
        <f>Data!Q98</f>
        <v>0</v>
      </c>
      <c r="P98" s="20">
        <f>Data!R98</f>
        <v>0</v>
      </c>
      <c r="Q98" s="20">
        <f>Data!S98</f>
        <v>0</v>
      </c>
      <c r="R98" s="20">
        <f>Data!T98</f>
        <v>0</v>
      </c>
      <c r="S98" s="20">
        <f>Data!U98</f>
        <v>0</v>
      </c>
      <c r="T98" s="20">
        <f>Data!V98</f>
        <v>0</v>
      </c>
      <c r="U98" s="20">
        <f>Data!W98</f>
        <v>0</v>
      </c>
      <c r="V98" s="20">
        <f>Data!X98</f>
        <v>0</v>
      </c>
      <c r="W98" s="20">
        <f>Data!Y98</f>
        <v>0</v>
      </c>
      <c r="X98" s="20">
        <f>Data!Z98</f>
        <v>0</v>
      </c>
      <c r="Y98" s="22" t="str">
        <f>Data!AL98</f>
        <v>E92000000001000000000000000000</v>
      </c>
      <c r="Z98" s="20">
        <f>Data!AC98</f>
        <v>0</v>
      </c>
      <c r="AA98" s="20">
        <f>Data!AE98</f>
        <v>0</v>
      </c>
      <c r="AB98" s="20">
        <f>Data!AG98</f>
        <v>0</v>
      </c>
      <c r="AC98" s="20" t="str">
        <f>CONCATENATE(Data!AI98," ",Data!AJ98)</f>
        <v xml:space="preserve"> </v>
      </c>
    </row>
    <row r="99" spans="1:29" ht="15">
      <c r="A99" s="20" t="str">
        <f>Data!A99</f>
        <v>デモ機</v>
      </c>
      <c r="B99" s="20" t="str">
        <f>Data!C99</f>
        <v>Entire Organization</v>
      </c>
      <c r="C99" s="20" t="str">
        <f>IF(Data!E99=0,"",Data!E99)</f>
        <v/>
      </c>
      <c r="D99" s="26">
        <f t="shared" si="1"/>
        <v>42065.868022071758</v>
      </c>
      <c r="E99" s="27">
        <f>Data!F99</f>
        <v>42065.868022071758</v>
      </c>
      <c r="F99" s="20" t="str">
        <f>Data!G99</f>
        <v>DebugRecord</v>
      </c>
      <c r="G99" s="20">
        <f>Data!H99</f>
        <v>0</v>
      </c>
      <c r="H99" s="20">
        <f>Data!I99</f>
        <v>0</v>
      </c>
      <c r="I99" s="20">
        <f>Data!J99</f>
        <v>0</v>
      </c>
      <c r="J99" s="21" t="str">
        <f>IF(Data!K99=0,"",Data!K99)</f>
        <v/>
      </c>
      <c r="K99" s="22">
        <f>Data!L99</f>
        <v>0</v>
      </c>
      <c r="L99" s="21" t="str">
        <f>IF(Data!N99=0,"",Data!N99)</f>
        <v>EnginePidSupportDebug</v>
      </c>
      <c r="M99" s="20">
        <f>Data!O99</f>
        <v>0</v>
      </c>
      <c r="N99" s="20">
        <f>Data!P99</f>
        <v>0</v>
      </c>
      <c r="O99" s="20">
        <f>Data!Q99</f>
        <v>0</v>
      </c>
      <c r="P99" s="20">
        <f>Data!R99</f>
        <v>0</v>
      </c>
      <c r="Q99" s="20">
        <f>Data!S99</f>
        <v>0</v>
      </c>
      <c r="R99" s="20">
        <f>Data!T99</f>
        <v>0</v>
      </c>
      <c r="S99" s="20">
        <f>Data!U99</f>
        <v>0</v>
      </c>
      <c r="T99" s="20">
        <f>Data!V99</f>
        <v>0</v>
      </c>
      <c r="U99" s="20">
        <f>Data!W99</f>
        <v>0</v>
      </c>
      <c r="V99" s="20">
        <f>Data!X99</f>
        <v>0</v>
      </c>
      <c r="W99" s="20">
        <f>Data!Y99</f>
        <v>0</v>
      </c>
      <c r="X99" s="20">
        <f>Data!Z99</f>
        <v>0</v>
      </c>
      <c r="Y99" s="22" t="str">
        <f>Data!AL99</f>
        <v>E82080159011000000000000000000</v>
      </c>
      <c r="Z99" s="20">
        <f>Data!AC99</f>
        <v>0</v>
      </c>
      <c r="AA99" s="20">
        <f>Data!AE99</f>
        <v>0</v>
      </c>
      <c r="AB99" s="20">
        <f>Data!AG99</f>
        <v>0</v>
      </c>
      <c r="AC99" s="20" t="str">
        <f>CONCATENATE(Data!AI99," ",Data!AJ99)</f>
        <v xml:space="preserve"> </v>
      </c>
    </row>
    <row r="100" spans="1:29" ht="15">
      <c r="A100" s="20" t="str">
        <f>Data!A100</f>
        <v>デモ機</v>
      </c>
      <c r="B100" s="20" t="str">
        <f>Data!C100</f>
        <v>Entire Organization</v>
      </c>
      <c r="C100" s="20" t="str">
        <f>IF(Data!E100=0,"",Data!E100)</f>
        <v/>
      </c>
      <c r="D100" s="26">
        <f t="shared" si="1"/>
        <v>42065.868033680556</v>
      </c>
      <c r="E100" s="27">
        <f>Data!F100</f>
        <v>42065.868033680556</v>
      </c>
      <c r="F100" s="20" t="str">
        <f>Data!G100</f>
        <v>DebugRecord</v>
      </c>
      <c r="G100" s="20">
        <f>Data!H100</f>
        <v>0</v>
      </c>
      <c r="H100" s="20">
        <f>Data!I100</f>
        <v>0</v>
      </c>
      <c r="I100" s="20">
        <f>Data!J100</f>
        <v>0</v>
      </c>
      <c r="J100" s="21" t="str">
        <f>IF(Data!K100=0,"",Data!K100)</f>
        <v/>
      </c>
      <c r="K100" s="22">
        <f>Data!L100</f>
        <v>0</v>
      </c>
      <c r="L100" s="21" t="str">
        <f>IF(Data!N100=0,"",Data!N100)</f>
        <v>EnginePidSupportDebug</v>
      </c>
      <c r="M100" s="20">
        <f>Data!O100</f>
        <v>0</v>
      </c>
      <c r="N100" s="20">
        <f>Data!P100</f>
        <v>0</v>
      </c>
      <c r="O100" s="20">
        <f>Data!Q100</f>
        <v>0</v>
      </c>
      <c r="P100" s="20">
        <f>Data!R100</f>
        <v>0</v>
      </c>
      <c r="Q100" s="20">
        <f>Data!S100</f>
        <v>0</v>
      </c>
      <c r="R100" s="20">
        <f>Data!T100</f>
        <v>0</v>
      </c>
      <c r="S100" s="20">
        <f>Data!U100</f>
        <v>0</v>
      </c>
      <c r="T100" s="20">
        <f>Data!V100</f>
        <v>0</v>
      </c>
      <c r="U100" s="20">
        <f>Data!W100</f>
        <v>0</v>
      </c>
      <c r="V100" s="20">
        <f>Data!X100</f>
        <v>0</v>
      </c>
      <c r="W100" s="20">
        <f>Data!Y100</f>
        <v>0</v>
      </c>
      <c r="X100" s="20">
        <f>Data!Z100</f>
        <v>0</v>
      </c>
      <c r="Y100" s="22" t="str">
        <f>Data!AL100</f>
        <v>E92000000001000000000000000000</v>
      </c>
      <c r="Z100" s="20">
        <f>Data!AC100</f>
        <v>0</v>
      </c>
      <c r="AA100" s="20">
        <f>Data!AE100</f>
        <v>0</v>
      </c>
      <c r="AB100" s="20">
        <f>Data!AG100</f>
        <v>0</v>
      </c>
      <c r="AC100" s="20" t="str">
        <f>CONCATENATE(Data!AI100," ",Data!AJ100)</f>
        <v xml:space="preserve"> </v>
      </c>
    </row>
    <row r="101" spans="1:29" ht="15">
      <c r="A101" s="20" t="str">
        <f>Data!A101</f>
        <v>デモ機</v>
      </c>
      <c r="B101" s="20" t="str">
        <f>Data!C101</f>
        <v>Entire Organization</v>
      </c>
      <c r="C101" s="20" t="str">
        <f>IF(Data!E101=0,"",Data!E101)</f>
        <v/>
      </c>
      <c r="D101" s="26">
        <f t="shared" si="1"/>
        <v>42065.868033715276</v>
      </c>
      <c r="E101" s="27">
        <f>Data!F101</f>
        <v>42065.868033715276</v>
      </c>
      <c r="F101" s="20" t="str">
        <f>Data!G101</f>
        <v>DebugRecord</v>
      </c>
      <c r="G101" s="20">
        <f>Data!H101</f>
        <v>0</v>
      </c>
      <c r="H101" s="20">
        <f>Data!I101</f>
        <v>0</v>
      </c>
      <c r="I101" s="20">
        <f>Data!J101</f>
        <v>0</v>
      </c>
      <c r="J101" s="21" t="str">
        <f>IF(Data!K101=0,"",Data!K101)</f>
        <v/>
      </c>
      <c r="K101" s="22">
        <f>Data!L101</f>
        <v>0</v>
      </c>
      <c r="L101" s="21" t="str">
        <f>IF(Data!N101=0,"",Data!N101)</f>
        <v>EnginePidSupportDebug</v>
      </c>
      <c r="M101" s="20">
        <f>Data!O101</f>
        <v>0</v>
      </c>
      <c r="N101" s="20">
        <f>Data!P101</f>
        <v>0</v>
      </c>
      <c r="O101" s="20">
        <f>Data!Q101</f>
        <v>0</v>
      </c>
      <c r="P101" s="20">
        <f>Data!R101</f>
        <v>0</v>
      </c>
      <c r="Q101" s="20">
        <f>Data!S101</f>
        <v>0</v>
      </c>
      <c r="R101" s="20">
        <f>Data!T101</f>
        <v>0</v>
      </c>
      <c r="S101" s="20">
        <f>Data!U101</f>
        <v>0</v>
      </c>
      <c r="T101" s="20">
        <f>Data!V101</f>
        <v>0</v>
      </c>
      <c r="U101" s="20">
        <f>Data!W101</f>
        <v>0</v>
      </c>
      <c r="V101" s="20">
        <f>Data!X101</f>
        <v>0</v>
      </c>
      <c r="W101" s="20">
        <f>Data!Y101</f>
        <v>0</v>
      </c>
      <c r="X101" s="20">
        <f>Data!Z101</f>
        <v>0</v>
      </c>
      <c r="Y101" s="22" t="str">
        <f>Data!AL101</f>
        <v>E82080159011000000000000000000</v>
      </c>
      <c r="Z101" s="20">
        <f>Data!AC101</f>
        <v>0</v>
      </c>
      <c r="AA101" s="20">
        <f>Data!AE101</f>
        <v>0</v>
      </c>
      <c r="AB101" s="20">
        <f>Data!AG101</f>
        <v>0</v>
      </c>
      <c r="AC101" s="20" t="str">
        <f>CONCATENATE(Data!AI101," ",Data!AJ101)</f>
        <v xml:space="preserve"> </v>
      </c>
    </row>
    <row r="102" spans="1:29" ht="15">
      <c r="A102" s="20" t="str">
        <f>Data!A102</f>
        <v>デモ機</v>
      </c>
      <c r="B102" s="20" t="str">
        <f>Data!C102</f>
        <v>Entire Organization</v>
      </c>
      <c r="C102" s="20" t="str">
        <f>IF(Data!E102=0,"",Data!E102)</f>
        <v/>
      </c>
      <c r="D102" s="26">
        <f t="shared" si="1"/>
        <v>42065.868045254632</v>
      </c>
      <c r="E102" s="27">
        <f>Data!F102</f>
        <v>42065.868045254632</v>
      </c>
      <c r="F102" s="20" t="str">
        <f>Data!G102</f>
        <v>DebugRecord</v>
      </c>
      <c r="G102" s="20">
        <f>Data!H102</f>
        <v>0</v>
      </c>
      <c r="H102" s="20">
        <f>Data!I102</f>
        <v>0</v>
      </c>
      <c r="I102" s="20">
        <f>Data!J102</f>
        <v>0</v>
      </c>
      <c r="J102" s="21" t="str">
        <f>IF(Data!K102=0,"",Data!K102)</f>
        <v/>
      </c>
      <c r="K102" s="22">
        <f>Data!L102</f>
        <v>0</v>
      </c>
      <c r="L102" s="21" t="str">
        <f>IF(Data!N102=0,"",Data!N102)</f>
        <v>EnginePidSupportDebug</v>
      </c>
      <c r="M102" s="20">
        <f>Data!O102</f>
        <v>0</v>
      </c>
      <c r="N102" s="20">
        <f>Data!P102</f>
        <v>0</v>
      </c>
      <c r="O102" s="20">
        <f>Data!Q102</f>
        <v>0</v>
      </c>
      <c r="P102" s="20">
        <f>Data!R102</f>
        <v>0</v>
      </c>
      <c r="Q102" s="20">
        <f>Data!S102</f>
        <v>0</v>
      </c>
      <c r="R102" s="20">
        <f>Data!T102</f>
        <v>0</v>
      </c>
      <c r="S102" s="20">
        <f>Data!U102</f>
        <v>0</v>
      </c>
      <c r="T102" s="20">
        <f>Data!V102</f>
        <v>0</v>
      </c>
      <c r="U102" s="20">
        <f>Data!W102</f>
        <v>0</v>
      </c>
      <c r="V102" s="20">
        <f>Data!X102</f>
        <v>0</v>
      </c>
      <c r="W102" s="20">
        <f>Data!Y102</f>
        <v>0</v>
      </c>
      <c r="X102" s="20">
        <f>Data!Z102</f>
        <v>0</v>
      </c>
      <c r="Y102" s="22" t="str">
        <f>Data!AL102</f>
        <v>E82080159011000000000000000000</v>
      </c>
      <c r="Z102" s="20">
        <f>Data!AC102</f>
        <v>0</v>
      </c>
      <c r="AA102" s="20">
        <f>Data!AE102</f>
        <v>0</v>
      </c>
      <c r="AB102" s="20">
        <f>Data!AG102</f>
        <v>0</v>
      </c>
      <c r="AC102" s="20" t="str">
        <f>CONCATENATE(Data!AI102," ",Data!AJ102)</f>
        <v xml:space="preserve"> </v>
      </c>
    </row>
    <row r="103" spans="1:29" ht="15">
      <c r="A103" s="20" t="str">
        <f>Data!A103</f>
        <v>デモ機</v>
      </c>
      <c r="B103" s="20" t="str">
        <f>Data!C103</f>
        <v>Entire Organization</v>
      </c>
      <c r="C103" s="20" t="str">
        <f>IF(Data!E103=0,"",Data!E103)</f>
        <v/>
      </c>
      <c r="D103" s="26">
        <f t="shared" si="1"/>
        <v>42065.868045254632</v>
      </c>
      <c r="E103" s="27">
        <f>Data!F103</f>
        <v>42065.868045254632</v>
      </c>
      <c r="F103" s="20" t="str">
        <f>Data!G103</f>
        <v>DebugRecord</v>
      </c>
      <c r="G103" s="20">
        <f>Data!H103</f>
        <v>0</v>
      </c>
      <c r="H103" s="20">
        <f>Data!I103</f>
        <v>0</v>
      </c>
      <c r="I103" s="20">
        <f>Data!J103</f>
        <v>0</v>
      </c>
      <c r="J103" s="21" t="str">
        <f>IF(Data!K103=0,"",Data!K103)</f>
        <v/>
      </c>
      <c r="K103" s="22">
        <f>Data!L103</f>
        <v>0</v>
      </c>
      <c r="L103" s="21" t="str">
        <f>IF(Data!N103=0,"",Data!N103)</f>
        <v>EnginePidSupportDebug</v>
      </c>
      <c r="M103" s="20">
        <f>Data!O103</f>
        <v>0</v>
      </c>
      <c r="N103" s="20">
        <f>Data!P103</f>
        <v>0</v>
      </c>
      <c r="O103" s="20">
        <f>Data!Q103</f>
        <v>0</v>
      </c>
      <c r="P103" s="20">
        <f>Data!R103</f>
        <v>0</v>
      </c>
      <c r="Q103" s="20">
        <f>Data!S103</f>
        <v>0</v>
      </c>
      <c r="R103" s="20">
        <f>Data!T103</f>
        <v>0</v>
      </c>
      <c r="S103" s="20">
        <f>Data!U103</f>
        <v>0</v>
      </c>
      <c r="T103" s="20">
        <f>Data!V103</f>
        <v>0</v>
      </c>
      <c r="U103" s="20">
        <f>Data!W103</f>
        <v>0</v>
      </c>
      <c r="V103" s="20">
        <f>Data!X103</f>
        <v>0</v>
      </c>
      <c r="W103" s="20">
        <f>Data!Y103</f>
        <v>0</v>
      </c>
      <c r="X103" s="20">
        <f>Data!Z103</f>
        <v>0</v>
      </c>
      <c r="Y103" s="22" t="str">
        <f>Data!AL103</f>
        <v>E92000000001000000000000000000</v>
      </c>
      <c r="Z103" s="20">
        <f>Data!AC103</f>
        <v>0</v>
      </c>
      <c r="AA103" s="20">
        <f>Data!AE103</f>
        <v>0</v>
      </c>
      <c r="AB103" s="20">
        <f>Data!AG103</f>
        <v>0</v>
      </c>
      <c r="AC103" s="20" t="str">
        <f>CONCATENATE(Data!AI103," ",Data!AJ103)</f>
        <v xml:space="preserve"> </v>
      </c>
    </row>
    <row r="104" spans="1:29" ht="15">
      <c r="A104" s="20" t="str">
        <f>Data!A104</f>
        <v>デモ機</v>
      </c>
      <c r="B104" s="20" t="str">
        <f>Data!C104</f>
        <v>Entire Organization</v>
      </c>
      <c r="C104" s="20" t="str">
        <f>IF(Data!E104=0,"",Data!E104)</f>
        <v/>
      </c>
      <c r="D104" s="26">
        <f t="shared" si="1"/>
        <v>42065.868056828702</v>
      </c>
      <c r="E104" s="27">
        <f>Data!F104</f>
        <v>42065.868056828702</v>
      </c>
      <c r="F104" s="20" t="str">
        <f>Data!G104</f>
        <v>DebugRecord</v>
      </c>
      <c r="G104" s="20">
        <f>Data!H104</f>
        <v>0</v>
      </c>
      <c r="H104" s="20">
        <f>Data!I104</f>
        <v>0</v>
      </c>
      <c r="I104" s="20">
        <f>Data!J104</f>
        <v>0</v>
      </c>
      <c r="J104" s="21" t="str">
        <f>IF(Data!K104=0,"",Data!K104)</f>
        <v/>
      </c>
      <c r="K104" s="22">
        <f>Data!L104</f>
        <v>0</v>
      </c>
      <c r="L104" s="21" t="str">
        <f>IF(Data!N104=0,"",Data!N104)</f>
        <v>EnginePidSupportDebug</v>
      </c>
      <c r="M104" s="20">
        <f>Data!O104</f>
        <v>0</v>
      </c>
      <c r="N104" s="20">
        <f>Data!P104</f>
        <v>0</v>
      </c>
      <c r="O104" s="20">
        <f>Data!Q104</f>
        <v>0</v>
      </c>
      <c r="P104" s="20">
        <f>Data!R104</f>
        <v>0</v>
      </c>
      <c r="Q104" s="20">
        <f>Data!S104</f>
        <v>0</v>
      </c>
      <c r="R104" s="20">
        <f>Data!T104</f>
        <v>0</v>
      </c>
      <c r="S104" s="20">
        <f>Data!U104</f>
        <v>0</v>
      </c>
      <c r="T104" s="20">
        <f>Data!V104</f>
        <v>0</v>
      </c>
      <c r="U104" s="20">
        <f>Data!W104</f>
        <v>0</v>
      </c>
      <c r="V104" s="20">
        <f>Data!X104</f>
        <v>0</v>
      </c>
      <c r="W104" s="20">
        <f>Data!Y104</f>
        <v>0</v>
      </c>
      <c r="X104" s="20">
        <f>Data!Z104</f>
        <v>0</v>
      </c>
      <c r="Y104" s="22" t="str">
        <f>Data!AL104</f>
        <v>E940C0000000000000000000000000</v>
      </c>
      <c r="Z104" s="20">
        <f>Data!AC104</f>
        <v>0</v>
      </c>
      <c r="AA104" s="20">
        <f>Data!AE104</f>
        <v>0</v>
      </c>
      <c r="AB104" s="20">
        <f>Data!AG104</f>
        <v>0</v>
      </c>
      <c r="AC104" s="20" t="str">
        <f>CONCATENATE(Data!AI104," ",Data!AJ104)</f>
        <v xml:space="preserve"> </v>
      </c>
    </row>
    <row r="105" spans="1:29" ht="15">
      <c r="A105" s="20" t="str">
        <f>Data!A105</f>
        <v>デモ機</v>
      </c>
      <c r="B105" s="20" t="str">
        <f>Data!C105</f>
        <v>Entire Organization</v>
      </c>
      <c r="C105" s="20" t="str">
        <f>IF(Data!E105=0,"",Data!E105)</f>
        <v/>
      </c>
      <c r="D105" s="26">
        <f t="shared" si="1"/>
        <v>42065.868056863423</v>
      </c>
      <c r="E105" s="27">
        <f>Data!F105</f>
        <v>42065.868056863423</v>
      </c>
      <c r="F105" s="20" t="str">
        <f>Data!G105</f>
        <v>DebugRecord</v>
      </c>
      <c r="G105" s="20">
        <f>Data!H105</f>
        <v>0</v>
      </c>
      <c r="H105" s="20">
        <f>Data!I105</f>
        <v>0</v>
      </c>
      <c r="I105" s="20">
        <f>Data!J105</f>
        <v>0</v>
      </c>
      <c r="J105" s="21" t="str">
        <f>IF(Data!K105=0,"",Data!K105)</f>
        <v/>
      </c>
      <c r="K105" s="22">
        <f>Data!L105</f>
        <v>0</v>
      </c>
      <c r="L105" s="21" t="str">
        <f>IF(Data!N105=0,"",Data!N105)</f>
        <v>EnginePidSupportDebug</v>
      </c>
      <c r="M105" s="20">
        <f>Data!O105</f>
        <v>0</v>
      </c>
      <c r="N105" s="20">
        <f>Data!P105</f>
        <v>0</v>
      </c>
      <c r="O105" s="20">
        <f>Data!Q105</f>
        <v>0</v>
      </c>
      <c r="P105" s="20">
        <f>Data!R105</f>
        <v>0</v>
      </c>
      <c r="Q105" s="20">
        <f>Data!S105</f>
        <v>0</v>
      </c>
      <c r="R105" s="20">
        <f>Data!T105</f>
        <v>0</v>
      </c>
      <c r="S105" s="20">
        <f>Data!U105</f>
        <v>0</v>
      </c>
      <c r="T105" s="20">
        <f>Data!V105</f>
        <v>0</v>
      </c>
      <c r="U105" s="20">
        <f>Data!W105</f>
        <v>0</v>
      </c>
      <c r="V105" s="20">
        <f>Data!X105</f>
        <v>0</v>
      </c>
      <c r="W105" s="20">
        <f>Data!Y105</f>
        <v>0</v>
      </c>
      <c r="X105" s="20">
        <f>Data!Z105</f>
        <v>0</v>
      </c>
      <c r="Y105" s="22" t="str">
        <f>Data!AL105</f>
        <v>E840FAD00000000000000000000000</v>
      </c>
      <c r="Z105" s="20">
        <f>Data!AC105</f>
        <v>0</v>
      </c>
      <c r="AA105" s="20">
        <f>Data!AE105</f>
        <v>0</v>
      </c>
      <c r="AB105" s="20">
        <f>Data!AG105</f>
        <v>0</v>
      </c>
      <c r="AC105" s="20" t="str">
        <f>CONCATENATE(Data!AI105," ",Data!AJ105)</f>
        <v xml:space="preserve"> </v>
      </c>
    </row>
    <row r="106" spans="1:29" ht="15">
      <c r="A106" s="20" t="str">
        <f>Data!A106</f>
        <v>デモ機</v>
      </c>
      <c r="B106" s="20" t="str">
        <f>Data!C106</f>
        <v>Entire Organization</v>
      </c>
      <c r="C106" s="20" t="str">
        <f>IF(Data!E106=0,"",Data!E106)</f>
        <v/>
      </c>
      <c r="D106" s="26">
        <f t="shared" si="1"/>
        <v>42065.868068402779</v>
      </c>
      <c r="E106" s="27">
        <f>Data!F106</f>
        <v>42065.868068402779</v>
      </c>
      <c r="F106" s="20" t="str">
        <f>Data!G106</f>
        <v>DebugRecord</v>
      </c>
      <c r="G106" s="20">
        <f>Data!H106</f>
        <v>0</v>
      </c>
      <c r="H106" s="20">
        <f>Data!I106</f>
        <v>0</v>
      </c>
      <c r="I106" s="20">
        <f>Data!J106</f>
        <v>0</v>
      </c>
      <c r="J106" s="21" t="str">
        <f>IF(Data!K106=0,"",Data!K106)</f>
        <v/>
      </c>
      <c r="K106" s="22">
        <f>Data!L106</f>
        <v>0</v>
      </c>
      <c r="L106" s="21" t="str">
        <f>IF(Data!N106=0,"",Data!N106)</f>
        <v>EnginePidSupportDebug</v>
      </c>
      <c r="M106" s="20">
        <f>Data!O106</f>
        <v>0</v>
      </c>
      <c r="N106" s="20">
        <f>Data!P106</f>
        <v>0</v>
      </c>
      <c r="O106" s="20">
        <f>Data!Q106</f>
        <v>0</v>
      </c>
      <c r="P106" s="20">
        <f>Data!R106</f>
        <v>0</v>
      </c>
      <c r="Q106" s="20">
        <f>Data!S106</f>
        <v>0</v>
      </c>
      <c r="R106" s="20">
        <f>Data!T106</f>
        <v>0</v>
      </c>
      <c r="S106" s="20">
        <f>Data!U106</f>
        <v>0</v>
      </c>
      <c r="T106" s="20">
        <f>Data!V106</f>
        <v>0</v>
      </c>
      <c r="U106" s="20">
        <f>Data!W106</f>
        <v>0</v>
      </c>
      <c r="V106" s="20">
        <f>Data!X106</f>
        <v>0</v>
      </c>
      <c r="W106" s="20">
        <f>Data!Y106</f>
        <v>0</v>
      </c>
      <c r="X106" s="20">
        <f>Data!Z106</f>
        <v>0</v>
      </c>
      <c r="Y106" s="22" t="str">
        <f>Data!AL106</f>
        <v>E840FAD00000000000000000000000</v>
      </c>
      <c r="Z106" s="20">
        <f>Data!AC106</f>
        <v>0</v>
      </c>
      <c r="AA106" s="20">
        <f>Data!AE106</f>
        <v>0</v>
      </c>
      <c r="AB106" s="20">
        <f>Data!AG106</f>
        <v>0</v>
      </c>
      <c r="AC106" s="20" t="str">
        <f>CONCATENATE(Data!AI106," ",Data!AJ106)</f>
        <v xml:space="preserve"> </v>
      </c>
    </row>
    <row r="107" spans="1:29" ht="15">
      <c r="A107" s="20" t="str">
        <f>Data!A107</f>
        <v>デモ機</v>
      </c>
      <c r="B107" s="20" t="str">
        <f>Data!C107</f>
        <v>Entire Organization</v>
      </c>
      <c r="C107" s="20" t="str">
        <f>IF(Data!E107=0,"",Data!E107)</f>
        <v/>
      </c>
      <c r="D107" s="26">
        <f t="shared" si="1"/>
        <v>42065.868068402779</v>
      </c>
      <c r="E107" s="27">
        <f>Data!F107</f>
        <v>42065.868068402779</v>
      </c>
      <c r="F107" s="20" t="str">
        <f>Data!G107</f>
        <v>DebugRecord</v>
      </c>
      <c r="G107" s="20">
        <f>Data!H107</f>
        <v>0</v>
      </c>
      <c r="H107" s="20">
        <f>Data!I107</f>
        <v>0</v>
      </c>
      <c r="I107" s="20">
        <f>Data!J107</f>
        <v>0</v>
      </c>
      <c r="J107" s="21" t="str">
        <f>IF(Data!K107=0,"",Data!K107)</f>
        <v/>
      </c>
      <c r="K107" s="22">
        <f>Data!L107</f>
        <v>0</v>
      </c>
      <c r="L107" s="21" t="str">
        <f>IF(Data!N107=0,"",Data!N107)</f>
        <v>EnginePidSupportDebug</v>
      </c>
      <c r="M107" s="20">
        <f>Data!O107</f>
        <v>0</v>
      </c>
      <c r="N107" s="20">
        <f>Data!P107</f>
        <v>0</v>
      </c>
      <c r="O107" s="20">
        <f>Data!Q107</f>
        <v>0</v>
      </c>
      <c r="P107" s="20">
        <f>Data!R107</f>
        <v>0</v>
      </c>
      <c r="Q107" s="20">
        <f>Data!S107</f>
        <v>0</v>
      </c>
      <c r="R107" s="20">
        <f>Data!T107</f>
        <v>0</v>
      </c>
      <c r="S107" s="20">
        <f>Data!U107</f>
        <v>0</v>
      </c>
      <c r="T107" s="20">
        <f>Data!V107</f>
        <v>0</v>
      </c>
      <c r="U107" s="20">
        <f>Data!W107</f>
        <v>0</v>
      </c>
      <c r="V107" s="20">
        <f>Data!X107</f>
        <v>0</v>
      </c>
      <c r="W107" s="20">
        <f>Data!Y107</f>
        <v>0</v>
      </c>
      <c r="X107" s="20">
        <f>Data!Z107</f>
        <v>0</v>
      </c>
      <c r="Y107" s="22" t="str">
        <f>Data!AL107</f>
        <v>E940C0000000000000000000000000</v>
      </c>
      <c r="Z107" s="20">
        <f>Data!AC107</f>
        <v>0</v>
      </c>
      <c r="AA107" s="20">
        <f>Data!AE107</f>
        <v>0</v>
      </c>
      <c r="AB107" s="20">
        <f>Data!AG107</f>
        <v>0</v>
      </c>
      <c r="AC107" s="20" t="str">
        <f>CONCATENATE(Data!AI107," ",Data!AJ107)</f>
        <v xml:space="preserve"> </v>
      </c>
    </row>
    <row r="108" spans="1:29" ht="15">
      <c r="A108" s="20" t="str">
        <f>Data!A108</f>
        <v>デモ機</v>
      </c>
      <c r="B108" s="20" t="str">
        <f>Data!C108</f>
        <v>Entire Organization</v>
      </c>
      <c r="C108" s="20" t="str">
        <f>IF(Data!E108=0,"",Data!E108)</f>
        <v/>
      </c>
      <c r="D108" s="26">
        <f t="shared" si="1"/>
        <v>42065.868079050924</v>
      </c>
      <c r="E108" s="27">
        <f>Data!F108</f>
        <v>42065.868079050924</v>
      </c>
      <c r="F108" s="20" t="str">
        <f>Data!G108</f>
        <v>DebugRecord</v>
      </c>
      <c r="G108" s="20">
        <f>Data!H108</f>
        <v>0</v>
      </c>
      <c r="H108" s="20">
        <f>Data!I108</f>
        <v>0</v>
      </c>
      <c r="I108" s="20">
        <f>Data!J108</f>
        <v>0</v>
      </c>
      <c r="J108" s="21" t="str">
        <f>IF(Data!K108=0,"",Data!K108)</f>
        <v/>
      </c>
      <c r="K108" s="22">
        <f>Data!L108</f>
        <v>0</v>
      </c>
      <c r="L108" s="21" t="str">
        <f>IF(Data!N108=0,"",Data!N108)</f>
        <v>CanBusStatusAtIgnitionOn</v>
      </c>
      <c r="M108" s="20">
        <f>Data!O108</f>
        <v>0</v>
      </c>
      <c r="N108" s="20">
        <f>Data!P108</f>
        <v>0</v>
      </c>
      <c r="O108" s="20">
        <f>Data!Q108</f>
        <v>0</v>
      </c>
      <c r="P108" s="20">
        <f>Data!R108</f>
        <v>0</v>
      </c>
      <c r="Q108" s="20">
        <f>Data!S108</f>
        <v>0</v>
      </c>
      <c r="R108" s="20">
        <f>Data!T108</f>
        <v>0</v>
      </c>
      <c r="S108" s="20">
        <f>Data!U108</f>
        <v>0</v>
      </c>
      <c r="T108" s="20">
        <f>Data!V108</f>
        <v>0</v>
      </c>
      <c r="U108" s="20">
        <f>Data!W108</f>
        <v>0</v>
      </c>
      <c r="V108" s="20">
        <f>Data!X108</f>
        <v>0</v>
      </c>
      <c r="W108" s="20">
        <f>Data!Y108</f>
        <v>0</v>
      </c>
      <c r="X108" s="20">
        <f>Data!Z108</f>
        <v>0</v>
      </c>
      <c r="Y108" s="22" t="str">
        <f>Data!AL108</f>
        <v>000000000000000000000000000000</v>
      </c>
      <c r="Z108" s="20">
        <f>Data!AC108</f>
        <v>0</v>
      </c>
      <c r="AA108" s="20">
        <f>Data!AE108</f>
        <v>0</v>
      </c>
      <c r="AB108" s="20">
        <f>Data!AG108</f>
        <v>0</v>
      </c>
      <c r="AC108" s="20" t="str">
        <f>CONCATENATE(Data!AI108," ",Data!AJ108)</f>
        <v xml:space="preserve"> </v>
      </c>
    </row>
    <row r="109" spans="1:29" ht="15">
      <c r="A109" s="20" t="str">
        <f>Data!A109</f>
        <v>デモ機</v>
      </c>
      <c r="B109" s="20" t="str">
        <f>Data!C109</f>
        <v>Entire Organization</v>
      </c>
      <c r="C109" s="20" t="str">
        <f>IF(Data!E109=0,"",Data!E109)</f>
        <v/>
      </c>
      <c r="D109" s="26">
        <f t="shared" si="1"/>
        <v>42065.868079976855</v>
      </c>
      <c r="E109" s="27">
        <f>Data!F109</f>
        <v>42065.868079976855</v>
      </c>
      <c r="F109" s="20" t="str">
        <f>Data!G109</f>
        <v>DebugRecord</v>
      </c>
      <c r="G109" s="20">
        <f>Data!H109</f>
        <v>0</v>
      </c>
      <c r="H109" s="20">
        <f>Data!I109</f>
        <v>0</v>
      </c>
      <c r="I109" s="20">
        <f>Data!J109</f>
        <v>0</v>
      </c>
      <c r="J109" s="21" t="str">
        <f>IF(Data!K109=0,"",Data!K109)</f>
        <v/>
      </c>
      <c r="K109" s="22">
        <f>Data!L109</f>
        <v>0</v>
      </c>
      <c r="L109" s="21" t="str">
        <f>IF(Data!N109=0,"",Data!N109)</f>
        <v>EnginePidSupportDebug</v>
      </c>
      <c r="M109" s="20">
        <f>Data!O109</f>
        <v>0</v>
      </c>
      <c r="N109" s="20">
        <f>Data!P109</f>
        <v>0</v>
      </c>
      <c r="O109" s="20">
        <f>Data!Q109</f>
        <v>0</v>
      </c>
      <c r="P109" s="20">
        <f>Data!R109</f>
        <v>0</v>
      </c>
      <c r="Q109" s="20">
        <f>Data!S109</f>
        <v>0</v>
      </c>
      <c r="R109" s="20">
        <f>Data!T109</f>
        <v>0</v>
      </c>
      <c r="S109" s="20">
        <f>Data!U109</f>
        <v>0</v>
      </c>
      <c r="T109" s="20">
        <f>Data!V109</f>
        <v>0</v>
      </c>
      <c r="U109" s="20">
        <f>Data!W109</f>
        <v>0</v>
      </c>
      <c r="V109" s="20">
        <f>Data!X109</f>
        <v>0</v>
      </c>
      <c r="W109" s="20">
        <f>Data!Y109</f>
        <v>0</v>
      </c>
      <c r="X109" s="20">
        <f>Data!Z109</f>
        <v>0</v>
      </c>
      <c r="Y109" s="22" t="str">
        <f>Data!AL109</f>
        <v>E940C0000000000000000000000000</v>
      </c>
      <c r="Z109" s="20">
        <f>Data!AC109</f>
        <v>0</v>
      </c>
      <c r="AA109" s="20">
        <f>Data!AE109</f>
        <v>0</v>
      </c>
      <c r="AB109" s="20">
        <f>Data!AG109</f>
        <v>0</v>
      </c>
      <c r="AC109" s="20" t="str">
        <f>CONCATENATE(Data!AI109," ",Data!AJ109)</f>
        <v xml:space="preserve"> </v>
      </c>
    </row>
    <row r="110" spans="1:29" ht="15">
      <c r="A110" s="20" t="str">
        <f>Data!A110</f>
        <v>デモ機</v>
      </c>
      <c r="B110" s="20" t="str">
        <f>Data!C110</f>
        <v>Entire Organization</v>
      </c>
      <c r="C110" s="20" t="str">
        <f>IF(Data!E110=0,"",Data!E110)</f>
        <v/>
      </c>
      <c r="D110" s="26">
        <f t="shared" si="1"/>
        <v>42065.868080011576</v>
      </c>
      <c r="E110" s="27">
        <f>Data!F110</f>
        <v>42065.868080011576</v>
      </c>
      <c r="F110" s="20" t="str">
        <f>Data!G110</f>
        <v>DebugRecord</v>
      </c>
      <c r="G110" s="20">
        <f>Data!H110</f>
        <v>0</v>
      </c>
      <c r="H110" s="20">
        <f>Data!I110</f>
        <v>0</v>
      </c>
      <c r="I110" s="20">
        <f>Data!J110</f>
        <v>0</v>
      </c>
      <c r="J110" s="21" t="str">
        <f>IF(Data!K110=0,"",Data!K110)</f>
        <v/>
      </c>
      <c r="K110" s="22">
        <f>Data!L110</f>
        <v>0</v>
      </c>
      <c r="L110" s="21" t="str">
        <f>IF(Data!N110=0,"",Data!N110)</f>
        <v>EnginePidSupportDebug</v>
      </c>
      <c r="M110" s="20">
        <f>Data!O110</f>
        <v>0</v>
      </c>
      <c r="N110" s="20">
        <f>Data!P110</f>
        <v>0</v>
      </c>
      <c r="O110" s="20">
        <f>Data!Q110</f>
        <v>0</v>
      </c>
      <c r="P110" s="20">
        <f>Data!R110</f>
        <v>0</v>
      </c>
      <c r="Q110" s="20">
        <f>Data!S110</f>
        <v>0</v>
      </c>
      <c r="R110" s="20">
        <f>Data!T110</f>
        <v>0</v>
      </c>
      <c r="S110" s="20">
        <f>Data!U110</f>
        <v>0</v>
      </c>
      <c r="T110" s="20">
        <f>Data!V110</f>
        <v>0</v>
      </c>
      <c r="U110" s="20">
        <f>Data!W110</f>
        <v>0</v>
      </c>
      <c r="V110" s="20">
        <f>Data!X110</f>
        <v>0</v>
      </c>
      <c r="W110" s="20">
        <f>Data!Y110</f>
        <v>0</v>
      </c>
      <c r="X110" s="20">
        <f>Data!Z110</f>
        <v>0</v>
      </c>
      <c r="Y110" s="22" t="str">
        <f>Data!AL110</f>
        <v>E840FAD00000000000000000000000</v>
      </c>
      <c r="Z110" s="20">
        <f>Data!AC110</f>
        <v>0</v>
      </c>
      <c r="AA110" s="20">
        <f>Data!AE110</f>
        <v>0</v>
      </c>
      <c r="AB110" s="20">
        <f>Data!AG110</f>
        <v>0</v>
      </c>
      <c r="AC110" s="20" t="str">
        <f>CONCATENATE(Data!AI110," ",Data!AJ110)</f>
        <v xml:space="preserve"> </v>
      </c>
    </row>
    <row r="111" spans="1:29" ht="15">
      <c r="A111" s="20" t="str">
        <f>Data!A111</f>
        <v>デモ機</v>
      </c>
      <c r="B111" s="20" t="str">
        <f>Data!C111</f>
        <v>Entire Organization</v>
      </c>
      <c r="C111" s="20" t="str">
        <f>IF(Data!E111=0,"",Data!E111)</f>
        <v/>
      </c>
      <c r="D111" s="26">
        <f t="shared" si="1"/>
        <v>42065.868091550925</v>
      </c>
      <c r="E111" s="27">
        <f>Data!F111</f>
        <v>42065.868091550925</v>
      </c>
      <c r="F111" s="20" t="str">
        <f>Data!G111</f>
        <v>DebugRecord</v>
      </c>
      <c r="G111" s="20">
        <f>Data!H111</f>
        <v>0</v>
      </c>
      <c r="H111" s="20">
        <f>Data!I111</f>
        <v>0</v>
      </c>
      <c r="I111" s="20">
        <f>Data!J111</f>
        <v>0</v>
      </c>
      <c r="J111" s="21" t="str">
        <f>IF(Data!K111=0,"",Data!K111)</f>
        <v/>
      </c>
      <c r="K111" s="22">
        <f>Data!L111</f>
        <v>0</v>
      </c>
      <c r="L111" s="21" t="str">
        <f>IF(Data!N111=0,"",Data!N111)</f>
        <v>EnginePidSupportDebug</v>
      </c>
      <c r="M111" s="20">
        <f>Data!O111</f>
        <v>0</v>
      </c>
      <c r="N111" s="20">
        <f>Data!P111</f>
        <v>0</v>
      </c>
      <c r="O111" s="20">
        <f>Data!Q111</f>
        <v>0</v>
      </c>
      <c r="P111" s="20">
        <f>Data!R111</f>
        <v>0</v>
      </c>
      <c r="Q111" s="20">
        <f>Data!S111</f>
        <v>0</v>
      </c>
      <c r="R111" s="20">
        <f>Data!T111</f>
        <v>0</v>
      </c>
      <c r="S111" s="20">
        <f>Data!U111</f>
        <v>0</v>
      </c>
      <c r="T111" s="20">
        <f>Data!V111</f>
        <v>0</v>
      </c>
      <c r="U111" s="20">
        <f>Data!W111</f>
        <v>0</v>
      </c>
      <c r="V111" s="20">
        <f>Data!X111</f>
        <v>0</v>
      </c>
      <c r="W111" s="20">
        <f>Data!Y111</f>
        <v>0</v>
      </c>
      <c r="X111" s="20">
        <f>Data!Z111</f>
        <v>0</v>
      </c>
      <c r="Y111" s="22" t="str">
        <f>Data!AL111</f>
        <v>E940C0000000000000000000000000</v>
      </c>
      <c r="Z111" s="20">
        <f>Data!AC111</f>
        <v>0</v>
      </c>
      <c r="AA111" s="20">
        <f>Data!AE111</f>
        <v>0</v>
      </c>
      <c r="AB111" s="20">
        <f>Data!AG111</f>
        <v>0</v>
      </c>
      <c r="AC111" s="20" t="str">
        <f>CONCATENATE(Data!AI111," ",Data!AJ111)</f>
        <v xml:space="preserve"> </v>
      </c>
    </row>
    <row r="112" spans="1:29" ht="15">
      <c r="A112" s="20" t="str">
        <f>Data!A112</f>
        <v>デモ機</v>
      </c>
      <c r="B112" s="20" t="str">
        <f>Data!C112</f>
        <v>Entire Organization</v>
      </c>
      <c r="C112" s="20" t="str">
        <f>IF(Data!E112=0,"",Data!E112)</f>
        <v/>
      </c>
      <c r="D112" s="26">
        <f t="shared" si="1"/>
        <v>42065.868091550925</v>
      </c>
      <c r="E112" s="27">
        <f>Data!F112</f>
        <v>42065.868091550925</v>
      </c>
      <c r="F112" s="20" t="str">
        <f>Data!G112</f>
        <v>DebugRecord</v>
      </c>
      <c r="G112" s="20">
        <f>Data!H112</f>
        <v>0</v>
      </c>
      <c r="H112" s="20">
        <f>Data!I112</f>
        <v>0</v>
      </c>
      <c r="I112" s="20">
        <f>Data!J112</f>
        <v>0</v>
      </c>
      <c r="J112" s="21" t="str">
        <f>IF(Data!K112=0,"",Data!K112)</f>
        <v/>
      </c>
      <c r="K112" s="22">
        <f>Data!L112</f>
        <v>0</v>
      </c>
      <c r="L112" s="21" t="str">
        <f>IF(Data!N112=0,"",Data!N112)</f>
        <v>EnginePidSupportDebug</v>
      </c>
      <c r="M112" s="20">
        <f>Data!O112</f>
        <v>0</v>
      </c>
      <c r="N112" s="20">
        <f>Data!P112</f>
        <v>0</v>
      </c>
      <c r="O112" s="20">
        <f>Data!Q112</f>
        <v>0</v>
      </c>
      <c r="P112" s="20">
        <f>Data!R112</f>
        <v>0</v>
      </c>
      <c r="Q112" s="20">
        <f>Data!S112</f>
        <v>0</v>
      </c>
      <c r="R112" s="20">
        <f>Data!T112</f>
        <v>0</v>
      </c>
      <c r="S112" s="20">
        <f>Data!U112</f>
        <v>0</v>
      </c>
      <c r="T112" s="20">
        <f>Data!V112</f>
        <v>0</v>
      </c>
      <c r="U112" s="20">
        <f>Data!W112</f>
        <v>0</v>
      </c>
      <c r="V112" s="20">
        <f>Data!X112</f>
        <v>0</v>
      </c>
      <c r="W112" s="20">
        <f>Data!Y112</f>
        <v>0</v>
      </c>
      <c r="X112" s="20">
        <f>Data!Z112</f>
        <v>0</v>
      </c>
      <c r="Y112" s="22" t="str">
        <f>Data!AL112</f>
        <v>E840FAD00000000000000000000000</v>
      </c>
      <c r="Z112" s="20">
        <f>Data!AC112</f>
        <v>0</v>
      </c>
      <c r="AA112" s="20">
        <f>Data!AE112</f>
        <v>0</v>
      </c>
      <c r="AB112" s="20">
        <f>Data!AG112</f>
        <v>0</v>
      </c>
      <c r="AC112" s="20" t="str">
        <f>CONCATENATE(Data!AI112," ",Data!AJ112)</f>
        <v xml:space="preserve"> </v>
      </c>
    </row>
    <row r="113" spans="1:29" ht="15">
      <c r="A113" s="20" t="str">
        <f>Data!A113</f>
        <v>デモ機</v>
      </c>
      <c r="B113" s="20" t="str">
        <f>Data!C113</f>
        <v>Entire Organization</v>
      </c>
      <c r="C113" s="20" t="str">
        <f>IF(Data!E113=0,"",Data!E113)</f>
        <v/>
      </c>
      <c r="D113" s="26">
        <f t="shared" si="1"/>
        <v>42065.868171296293</v>
      </c>
      <c r="E113" s="27">
        <f>Data!F113</f>
        <v>42065.868171296293</v>
      </c>
      <c r="F113" s="20" t="str">
        <f>Data!G113</f>
        <v>GpsRecord</v>
      </c>
      <c r="G113" s="20">
        <f>Data!H113</f>
        <v>2</v>
      </c>
      <c r="H113" s="20">
        <f>Data!I113</f>
        <v>139.40158</v>
      </c>
      <c r="I113" s="20">
        <f>Data!J113</f>
        <v>35.568950000000001</v>
      </c>
      <c r="J113" s="21" t="str">
        <f>IF(Data!K113=0,"",Data!K113)</f>
        <v>日本, 〒252-0206 神奈川県相模原市中央区淵野辺５丁目６−５</v>
      </c>
      <c r="K113" s="22">
        <f>Data!L113</f>
        <v>0</v>
      </c>
      <c r="L113" s="21" t="str">
        <f>IF(Data!N113=0,"",Data!N113)</f>
        <v>CurveZeroSpeed</v>
      </c>
      <c r="M113" s="20" t="b">
        <f>Data!O113</f>
        <v>1</v>
      </c>
      <c r="N113" s="20" t="b">
        <f>Data!P113</f>
        <v>0</v>
      </c>
      <c r="O113" s="20" t="b">
        <f>Data!Q113</f>
        <v>0</v>
      </c>
      <c r="P113" s="20" t="b">
        <f>Data!R113</f>
        <v>0</v>
      </c>
      <c r="Q113" s="20" t="b">
        <f>Data!S113</f>
        <v>0</v>
      </c>
      <c r="R113" s="20" t="b">
        <f>Data!T113</f>
        <v>0</v>
      </c>
      <c r="S113" s="20" t="b">
        <f>Data!U113</f>
        <v>0</v>
      </c>
      <c r="T113" s="20" t="b">
        <f>Data!V113</f>
        <v>0</v>
      </c>
      <c r="U113" s="20" t="b">
        <f>Data!W113</f>
        <v>0</v>
      </c>
      <c r="V113" s="20" t="b">
        <f>Data!X113</f>
        <v>1</v>
      </c>
      <c r="W113" s="20" t="b">
        <f>Data!Y113</f>
        <v>1</v>
      </c>
      <c r="X113" s="20">
        <f>Data!Z113</f>
        <v>0</v>
      </c>
      <c r="Y113" s="22">
        <f>Data!AL113</f>
        <v>0</v>
      </c>
      <c r="Z113" s="20">
        <f>Data!AC113</f>
        <v>0</v>
      </c>
      <c r="AA113" s="20">
        <f>Data!AE113</f>
        <v>0</v>
      </c>
      <c r="AB113" s="20">
        <f>Data!AG113</f>
        <v>0</v>
      </c>
      <c r="AC113" s="20" t="str">
        <f>CONCATENATE(Data!AI113," ",Data!AJ113)</f>
        <v xml:space="preserve"> </v>
      </c>
    </row>
    <row r="114" spans="1:29" ht="15">
      <c r="A114" s="20" t="str">
        <f>Data!A114</f>
        <v>デモ機</v>
      </c>
      <c r="B114" s="20" t="str">
        <f>Data!C114</f>
        <v>Entire Organization</v>
      </c>
      <c r="C114" s="20" t="str">
        <f>IF(Data!E114=0,"",Data!E114)</f>
        <v/>
      </c>
      <c r="D114" s="26">
        <f t="shared" si="1"/>
        <v>42065.868176585645</v>
      </c>
      <c r="E114" s="27">
        <f>Data!F114</f>
        <v>42065.868176585645</v>
      </c>
      <c r="F114" s="20" t="str">
        <f>Data!G114</f>
        <v>DebugRecord</v>
      </c>
      <c r="G114" s="20">
        <f>Data!H114</f>
        <v>0</v>
      </c>
      <c r="H114" s="20">
        <f>Data!I114</f>
        <v>0</v>
      </c>
      <c r="I114" s="20">
        <f>Data!J114</f>
        <v>0</v>
      </c>
      <c r="J114" s="21" t="str">
        <f>IF(Data!K114=0,"",Data!K114)</f>
        <v/>
      </c>
      <c r="K114" s="22">
        <f>Data!L114</f>
        <v>0</v>
      </c>
      <c r="L114" s="21" t="str">
        <f>IF(Data!N114=0,"",Data!N114)</f>
        <v>DebugFuelSystemStatus</v>
      </c>
      <c r="M114" s="20">
        <f>Data!O114</f>
        <v>0</v>
      </c>
      <c r="N114" s="20">
        <f>Data!P114</f>
        <v>0</v>
      </c>
      <c r="O114" s="20">
        <f>Data!Q114</f>
        <v>0</v>
      </c>
      <c r="P114" s="20">
        <f>Data!R114</f>
        <v>0</v>
      </c>
      <c r="Q114" s="20">
        <f>Data!S114</f>
        <v>0</v>
      </c>
      <c r="R114" s="20">
        <f>Data!T114</f>
        <v>0</v>
      </c>
      <c r="S114" s="20">
        <f>Data!U114</f>
        <v>0</v>
      </c>
      <c r="T114" s="20">
        <f>Data!V114</f>
        <v>0</v>
      </c>
      <c r="U114" s="20">
        <f>Data!W114</f>
        <v>0</v>
      </c>
      <c r="V114" s="20">
        <f>Data!X114</f>
        <v>0</v>
      </c>
      <c r="W114" s="20">
        <f>Data!Y114</f>
        <v>0</v>
      </c>
      <c r="X114" s="20">
        <f>Data!Z114</f>
        <v>0</v>
      </c>
      <c r="Y114" s="22" t="str">
        <f>Data!AL114</f>
        <v>020000000000000000000000000000</v>
      </c>
      <c r="Z114" s="20">
        <f>Data!AC114</f>
        <v>0</v>
      </c>
      <c r="AA114" s="20">
        <f>Data!AE114</f>
        <v>0</v>
      </c>
      <c r="AB114" s="20">
        <f>Data!AG114</f>
        <v>0</v>
      </c>
      <c r="AC114" s="20" t="str">
        <f>CONCATENATE(Data!AI114," ",Data!AJ114)</f>
        <v xml:space="preserve"> </v>
      </c>
    </row>
    <row r="115" spans="1:29" ht="15">
      <c r="A115" s="20" t="str">
        <f>Data!A115</f>
        <v>デモ機</v>
      </c>
      <c r="B115" s="20" t="str">
        <f>Data!C115</f>
        <v>Entire Organization</v>
      </c>
      <c r="C115" s="20" t="str">
        <f>IF(Data!E115=0,"",Data!E115)</f>
        <v/>
      </c>
      <c r="D115" s="26">
        <f t="shared" si="1"/>
        <v>42065.868177164353</v>
      </c>
      <c r="E115" s="27">
        <f>Data!F115</f>
        <v>42065.868177164353</v>
      </c>
      <c r="F115" s="20" t="str">
        <f>Data!G115</f>
        <v>DebugRecord</v>
      </c>
      <c r="G115" s="20">
        <f>Data!H115</f>
        <v>0</v>
      </c>
      <c r="H115" s="20">
        <f>Data!I115</f>
        <v>0</v>
      </c>
      <c r="I115" s="20">
        <f>Data!J115</f>
        <v>0</v>
      </c>
      <c r="J115" s="21" t="str">
        <f>IF(Data!K115=0,"",Data!K115)</f>
        <v/>
      </c>
      <c r="K115" s="22">
        <f>Data!L115</f>
        <v>0</v>
      </c>
      <c r="L115" s="21" t="str">
        <f>IF(Data!N115=0,"",Data!N115)</f>
        <v>EngineDataSource</v>
      </c>
      <c r="M115" s="20">
        <f>Data!O115</f>
        <v>0</v>
      </c>
      <c r="N115" s="20">
        <f>Data!P115</f>
        <v>0</v>
      </c>
      <c r="O115" s="20">
        <f>Data!Q115</f>
        <v>0</v>
      </c>
      <c r="P115" s="20">
        <f>Data!R115</f>
        <v>0</v>
      </c>
      <c r="Q115" s="20">
        <f>Data!S115</f>
        <v>0</v>
      </c>
      <c r="R115" s="20">
        <f>Data!T115</f>
        <v>0</v>
      </c>
      <c r="S115" s="20">
        <f>Data!U115</f>
        <v>0</v>
      </c>
      <c r="T115" s="20">
        <f>Data!V115</f>
        <v>0</v>
      </c>
      <c r="U115" s="20">
        <f>Data!W115</f>
        <v>0</v>
      </c>
      <c r="V115" s="20">
        <f>Data!X115</f>
        <v>0</v>
      </c>
      <c r="W115" s="20">
        <f>Data!Y115</f>
        <v>0</v>
      </c>
      <c r="X115" s="20">
        <f>Data!Z115</f>
        <v>0</v>
      </c>
      <c r="Y115" s="22" t="str">
        <f>Data!AL115</f>
        <v>091700000000000000000000000000</v>
      </c>
      <c r="Z115" s="20">
        <f>Data!AC115</f>
        <v>0</v>
      </c>
      <c r="AA115" s="20">
        <f>Data!AE115</f>
        <v>0</v>
      </c>
      <c r="AB115" s="20">
        <f>Data!AG115</f>
        <v>0</v>
      </c>
      <c r="AC115" s="20" t="str">
        <f>CONCATENATE(Data!AI115," ",Data!AJ115)</f>
        <v xml:space="preserve"> </v>
      </c>
    </row>
    <row r="116" spans="1:29" ht="15">
      <c r="A116" s="20" t="str">
        <f>Data!A116</f>
        <v>デモ機</v>
      </c>
      <c r="B116" s="20" t="str">
        <f>Data!C116</f>
        <v>Entire Organization</v>
      </c>
      <c r="C116" s="20" t="str">
        <f>IF(Data!E116=0,"",Data!E116)</f>
        <v/>
      </c>
      <c r="D116" s="26">
        <f t="shared" si="1"/>
        <v>42065.868177164353</v>
      </c>
      <c r="E116" s="27">
        <f>Data!F116</f>
        <v>42065.868177164353</v>
      </c>
      <c r="F116" s="20" t="str">
        <f>Data!G116</f>
        <v>EngineStatusRecord</v>
      </c>
      <c r="G116" s="20">
        <f>Data!H116</f>
        <v>0</v>
      </c>
      <c r="H116" s="20">
        <f>Data!I116</f>
        <v>0</v>
      </c>
      <c r="I116" s="20">
        <f>Data!J116</f>
        <v>0</v>
      </c>
      <c r="J116" s="21" t="str">
        <f>IF(Data!K116=0,"",Data!K116)</f>
        <v/>
      </c>
      <c r="K116" s="22">
        <f>Data!L116</f>
        <v>0</v>
      </c>
      <c r="L116" s="21" t="str">
        <f>IF(Data!N116=0,"",Data!N116)</f>
        <v/>
      </c>
      <c r="M116" s="20">
        <f>Data!O116</f>
        <v>0</v>
      </c>
      <c r="N116" s="20">
        <f>Data!P116</f>
        <v>0</v>
      </c>
      <c r="O116" s="20">
        <f>Data!Q116</f>
        <v>0</v>
      </c>
      <c r="P116" s="20">
        <f>Data!R116</f>
        <v>0</v>
      </c>
      <c r="Q116" s="20">
        <f>Data!S116</f>
        <v>0</v>
      </c>
      <c r="R116" s="20">
        <f>Data!T116</f>
        <v>0</v>
      </c>
      <c r="S116" s="20">
        <f>Data!U116</f>
        <v>0</v>
      </c>
      <c r="T116" s="20">
        <f>Data!V116</f>
        <v>0</v>
      </c>
      <c r="U116" s="20">
        <f>Data!W116</f>
        <v>0</v>
      </c>
      <c r="V116" s="20">
        <f>Data!X116</f>
        <v>0</v>
      </c>
      <c r="W116" s="20">
        <f>Data!Y116</f>
        <v>0</v>
      </c>
      <c r="X116" s="20">
        <f>Data!Z116</f>
        <v>0</v>
      </c>
      <c r="Y116" s="22">
        <f>Data!AL116</f>
        <v>0</v>
      </c>
      <c r="Z116" s="20" t="str">
        <f>Data!AC116</f>
        <v>Engine coolant temperature</v>
      </c>
      <c r="AA116" s="20" t="str">
        <f>Data!AE116</f>
        <v/>
      </c>
      <c r="AB116" s="20">
        <f>Data!AG116</f>
        <v>0</v>
      </c>
      <c r="AC116" s="20" t="str">
        <f>CONCATENATE(Data!AI116," ",Data!AJ116)</f>
        <v>25 C</v>
      </c>
    </row>
    <row r="117" spans="1:29" ht="15">
      <c r="A117" s="20" t="str">
        <f>Data!A117</f>
        <v>デモ機</v>
      </c>
      <c r="B117" s="20" t="str">
        <f>Data!C117</f>
        <v>Entire Organization</v>
      </c>
      <c r="C117" s="20" t="str">
        <f>IF(Data!E117=0,"",Data!E117)</f>
        <v/>
      </c>
      <c r="D117" s="26">
        <f t="shared" si="1"/>
        <v>42065.868206099534</v>
      </c>
      <c r="E117" s="27">
        <f>Data!F117</f>
        <v>42065.868206099534</v>
      </c>
      <c r="F117" s="20" t="str">
        <f>Data!G117</f>
        <v>EngineStatusRecord</v>
      </c>
      <c r="G117" s="20">
        <f>Data!H117</f>
        <v>0</v>
      </c>
      <c r="H117" s="20">
        <f>Data!I117</f>
        <v>0</v>
      </c>
      <c r="I117" s="20">
        <f>Data!J117</f>
        <v>0</v>
      </c>
      <c r="J117" s="21" t="str">
        <f>IF(Data!K117=0,"",Data!K117)</f>
        <v/>
      </c>
      <c r="K117" s="22">
        <f>Data!L117</f>
        <v>0</v>
      </c>
      <c r="L117" s="21" t="str">
        <f>IF(Data!N117=0,"",Data!N117)</f>
        <v/>
      </c>
      <c r="M117" s="20">
        <f>Data!O117</f>
        <v>0</v>
      </c>
      <c r="N117" s="20">
        <f>Data!P117</f>
        <v>0</v>
      </c>
      <c r="O117" s="20">
        <f>Data!Q117</f>
        <v>0</v>
      </c>
      <c r="P117" s="20">
        <f>Data!R117</f>
        <v>0</v>
      </c>
      <c r="Q117" s="20">
        <f>Data!S117</f>
        <v>0</v>
      </c>
      <c r="R117" s="20">
        <f>Data!T117</f>
        <v>0</v>
      </c>
      <c r="S117" s="20">
        <f>Data!U117</f>
        <v>0</v>
      </c>
      <c r="T117" s="20">
        <f>Data!V117</f>
        <v>0</v>
      </c>
      <c r="U117" s="20">
        <f>Data!W117</f>
        <v>0</v>
      </c>
      <c r="V117" s="20">
        <f>Data!X117</f>
        <v>0</v>
      </c>
      <c r="W117" s="20">
        <f>Data!Y117</f>
        <v>0</v>
      </c>
      <c r="X117" s="20">
        <f>Data!Z117</f>
        <v>0</v>
      </c>
      <c r="Y117" s="22">
        <f>Data!AL117</f>
        <v>0</v>
      </c>
      <c r="Z117" s="20" t="str">
        <f>Data!AC117</f>
        <v>Engine RPM</v>
      </c>
      <c r="AA117" s="20" t="str">
        <f>Data!AE117</f>
        <v/>
      </c>
      <c r="AB117" s="20">
        <f>Data!AG117</f>
        <v>0</v>
      </c>
      <c r="AC117" s="20" t="str">
        <f>CONCATENATE(Data!AI117," ",Data!AJ117)</f>
        <v>935.75 RPM</v>
      </c>
    </row>
    <row r="118" spans="1:29" ht="15">
      <c r="A118" s="20" t="str">
        <f>Data!A118</f>
        <v>デモ機</v>
      </c>
      <c r="B118" s="20" t="str">
        <f>Data!C118</f>
        <v>Entire Organization</v>
      </c>
      <c r="C118" s="20" t="str">
        <f>IF(Data!E118=0,"",Data!E118)</f>
        <v/>
      </c>
      <c r="D118" s="26">
        <f t="shared" si="1"/>
        <v>42065.868333333332</v>
      </c>
      <c r="E118" s="27">
        <f>Data!F118</f>
        <v>42065.868333333332</v>
      </c>
      <c r="F118" s="20" t="str">
        <f>Data!G118</f>
        <v>DebugRecord</v>
      </c>
      <c r="G118" s="20">
        <f>Data!H118</f>
        <v>0</v>
      </c>
      <c r="H118" s="20">
        <f>Data!I118</f>
        <v>0</v>
      </c>
      <c r="I118" s="20">
        <f>Data!J118</f>
        <v>0</v>
      </c>
      <c r="J118" s="21" t="str">
        <f>IF(Data!K118=0,"",Data!K118)</f>
        <v/>
      </c>
      <c r="K118" s="22">
        <f>Data!L118</f>
        <v>0</v>
      </c>
      <c r="L118" s="21" t="str">
        <f>IF(Data!N118=0,"",Data!N118)</f>
        <v>IntermittentConnectionTestAddressUsed</v>
      </c>
      <c r="M118" s="20">
        <f>Data!O118</f>
        <v>0</v>
      </c>
      <c r="N118" s="20">
        <f>Data!P118</f>
        <v>0</v>
      </c>
      <c r="O118" s="20">
        <f>Data!Q118</f>
        <v>0</v>
      </c>
      <c r="P118" s="20">
        <f>Data!R118</f>
        <v>0</v>
      </c>
      <c r="Q118" s="20">
        <f>Data!S118</f>
        <v>0</v>
      </c>
      <c r="R118" s="20">
        <f>Data!T118</f>
        <v>0</v>
      </c>
      <c r="S118" s="20">
        <f>Data!U118</f>
        <v>0</v>
      </c>
      <c r="T118" s="20">
        <f>Data!V118</f>
        <v>0</v>
      </c>
      <c r="U118" s="20">
        <f>Data!W118</f>
        <v>0</v>
      </c>
      <c r="V118" s="20">
        <f>Data!X118</f>
        <v>0</v>
      </c>
      <c r="W118" s="20">
        <f>Data!Y118</f>
        <v>0</v>
      </c>
      <c r="X118" s="20">
        <f>Data!Z118</f>
        <v>0</v>
      </c>
      <c r="Y118" s="22" t="str">
        <f>Data!AL118</f>
        <v>360200000000000000000000000000</v>
      </c>
      <c r="Z118" s="20">
        <f>Data!AC118</f>
        <v>0</v>
      </c>
      <c r="AA118" s="20">
        <f>Data!AE118</f>
        <v>0</v>
      </c>
      <c r="AB118" s="20">
        <f>Data!AG118</f>
        <v>0</v>
      </c>
      <c r="AC118" s="20" t="str">
        <f>CONCATENATE(Data!AI118," ",Data!AJ118)</f>
        <v xml:space="preserve"> </v>
      </c>
    </row>
    <row r="119" spans="1:29" ht="15">
      <c r="A119" s="20" t="str">
        <f>Data!A119</f>
        <v>デモ機</v>
      </c>
      <c r="B119" s="20" t="str">
        <f>Data!C119</f>
        <v>Entire Organization</v>
      </c>
      <c r="C119" s="20" t="str">
        <f>IF(Data!E119=0,"",Data!E119)</f>
        <v/>
      </c>
      <c r="D119" s="26">
        <f t="shared" si="1"/>
        <v>42065.868344907409</v>
      </c>
      <c r="E119" s="27">
        <f>Data!F119</f>
        <v>42065.868344907409</v>
      </c>
      <c r="F119" s="20" t="str">
        <f>Data!G119</f>
        <v>DebugRecord</v>
      </c>
      <c r="G119" s="20">
        <f>Data!H119</f>
        <v>0</v>
      </c>
      <c r="H119" s="20">
        <f>Data!I119</f>
        <v>0</v>
      </c>
      <c r="I119" s="20">
        <f>Data!J119</f>
        <v>0</v>
      </c>
      <c r="J119" s="21" t="str">
        <f>IF(Data!K119=0,"",Data!K119)</f>
        <v/>
      </c>
      <c r="K119" s="22">
        <f>Data!L119</f>
        <v>0</v>
      </c>
      <c r="L119" s="21" t="str">
        <f>IF(Data!N119=0,"",Data!N119)</f>
        <v>IntermittentConnectionTestProtocolCanObd</v>
      </c>
      <c r="M119" s="20">
        <f>Data!O119</f>
        <v>0</v>
      </c>
      <c r="N119" s="20">
        <f>Data!P119</f>
        <v>0</v>
      </c>
      <c r="O119" s="20">
        <f>Data!Q119</f>
        <v>0</v>
      </c>
      <c r="P119" s="20">
        <f>Data!R119</f>
        <v>0</v>
      </c>
      <c r="Q119" s="20">
        <f>Data!S119</f>
        <v>0</v>
      </c>
      <c r="R119" s="20">
        <f>Data!T119</f>
        <v>0</v>
      </c>
      <c r="S119" s="20">
        <f>Data!U119</f>
        <v>0</v>
      </c>
      <c r="T119" s="20">
        <f>Data!V119</f>
        <v>0</v>
      </c>
      <c r="U119" s="20">
        <f>Data!W119</f>
        <v>0</v>
      </c>
      <c r="V119" s="20">
        <f>Data!X119</f>
        <v>0</v>
      </c>
      <c r="W119" s="20">
        <f>Data!Y119</f>
        <v>0</v>
      </c>
      <c r="X119" s="20">
        <f>Data!Z119</f>
        <v>0</v>
      </c>
      <c r="Y119" s="22" t="str">
        <f>Data!AL119</f>
        <v>620000000000000000000000000000</v>
      </c>
      <c r="Z119" s="20">
        <f>Data!AC119</f>
        <v>0</v>
      </c>
      <c r="AA119" s="20">
        <f>Data!AE119</f>
        <v>0</v>
      </c>
      <c r="AB119" s="20">
        <f>Data!AG119</f>
        <v>0</v>
      </c>
      <c r="AC119" s="20" t="str">
        <f>CONCATENATE(Data!AI119," ",Data!AJ119)</f>
        <v xml:space="preserve"> </v>
      </c>
    </row>
    <row r="120" spans="1:29" ht="15">
      <c r="A120" s="20" t="str">
        <f>Data!A120</f>
        <v>デモ機</v>
      </c>
      <c r="B120" s="20" t="str">
        <f>Data!C120</f>
        <v>Entire Organization</v>
      </c>
      <c r="C120" s="20" t="str">
        <f>IF(Data!E120=0,"",Data!E120)</f>
        <v/>
      </c>
      <c r="D120" s="26">
        <f t="shared" si="1"/>
        <v>42065.868356481478</v>
      </c>
      <c r="E120" s="27">
        <f>Data!F120</f>
        <v>42065.868356481478</v>
      </c>
      <c r="F120" s="20" t="str">
        <f>Data!G120</f>
        <v>DebugRecord</v>
      </c>
      <c r="G120" s="20">
        <f>Data!H120</f>
        <v>0</v>
      </c>
      <c r="H120" s="20">
        <f>Data!I120</f>
        <v>0</v>
      </c>
      <c r="I120" s="20">
        <f>Data!J120</f>
        <v>0</v>
      </c>
      <c r="J120" s="21" t="str">
        <f>IF(Data!K120=0,"",Data!K120)</f>
        <v/>
      </c>
      <c r="K120" s="22">
        <f>Data!L120</f>
        <v>0</v>
      </c>
      <c r="L120" s="21" t="str">
        <f>IF(Data!N120=0,"",Data!N120)</f>
        <v>IntermittentConnectionTestProtocolCanObd</v>
      </c>
      <c r="M120" s="20">
        <f>Data!O120</f>
        <v>0</v>
      </c>
      <c r="N120" s="20">
        <f>Data!P120</f>
        <v>0</v>
      </c>
      <c r="O120" s="20">
        <f>Data!Q120</f>
        <v>0</v>
      </c>
      <c r="P120" s="20">
        <f>Data!R120</f>
        <v>0</v>
      </c>
      <c r="Q120" s="20">
        <f>Data!S120</f>
        <v>0</v>
      </c>
      <c r="R120" s="20">
        <f>Data!T120</f>
        <v>0</v>
      </c>
      <c r="S120" s="20">
        <f>Data!U120</f>
        <v>0</v>
      </c>
      <c r="T120" s="20">
        <f>Data!V120</f>
        <v>0</v>
      </c>
      <c r="U120" s="20">
        <f>Data!W120</f>
        <v>0</v>
      </c>
      <c r="V120" s="20">
        <f>Data!X120</f>
        <v>0</v>
      </c>
      <c r="W120" s="20">
        <f>Data!Y120</f>
        <v>0</v>
      </c>
      <c r="X120" s="20">
        <f>Data!Z120</f>
        <v>0</v>
      </c>
      <c r="Y120" s="22" t="str">
        <f>Data!AL120</f>
        <v>640000000000000000000000000000</v>
      </c>
      <c r="Z120" s="20">
        <f>Data!AC120</f>
        <v>0</v>
      </c>
      <c r="AA120" s="20">
        <f>Data!AE120</f>
        <v>0</v>
      </c>
      <c r="AB120" s="20">
        <f>Data!AG120</f>
        <v>0</v>
      </c>
      <c r="AC120" s="20" t="str">
        <f>CONCATENATE(Data!AI120," ",Data!AJ120)</f>
        <v xml:space="preserve"> </v>
      </c>
    </row>
    <row r="121" spans="1:29" ht="15">
      <c r="A121" s="20" t="str">
        <f>Data!A121</f>
        <v>デモ機</v>
      </c>
      <c r="B121" s="20" t="str">
        <f>Data!C121</f>
        <v>Entire Organization</v>
      </c>
      <c r="C121" s="20" t="str">
        <f>IF(Data!E121=0,"",Data!E121)</f>
        <v/>
      </c>
      <c r="D121" s="26">
        <f t="shared" si="1"/>
        <v>42065.868356481478</v>
      </c>
      <c r="E121" s="27">
        <f>Data!F121</f>
        <v>42065.868356481478</v>
      </c>
      <c r="F121" s="20" t="str">
        <f>Data!G121</f>
        <v>GpsRecord</v>
      </c>
      <c r="G121" s="20">
        <f>Data!H121</f>
        <v>11</v>
      </c>
      <c r="H121" s="20">
        <f>Data!I121</f>
        <v>139.40163000000001</v>
      </c>
      <c r="I121" s="20">
        <f>Data!J121</f>
        <v>35.569049999999997</v>
      </c>
      <c r="J121" s="21" t="str">
        <f>IF(Data!K121=0,"",Data!K121)</f>
        <v>日本, 〒252-0206 神奈川県相模原市中央区淵野辺５丁目７−１６</v>
      </c>
      <c r="K121" s="22">
        <f>Data!L121</f>
        <v>0</v>
      </c>
      <c r="L121" s="21" t="str">
        <f>IF(Data!N121=0,"",Data!N121)</f>
        <v>CurveBased</v>
      </c>
      <c r="M121" s="20" t="b">
        <f>Data!O121</f>
        <v>1</v>
      </c>
      <c r="N121" s="20" t="b">
        <f>Data!P121</f>
        <v>0</v>
      </c>
      <c r="O121" s="20" t="b">
        <f>Data!Q121</f>
        <v>0</v>
      </c>
      <c r="P121" s="20" t="b">
        <f>Data!R121</f>
        <v>0</v>
      </c>
      <c r="Q121" s="20" t="b">
        <f>Data!S121</f>
        <v>0</v>
      </c>
      <c r="R121" s="20" t="b">
        <f>Data!T121</f>
        <v>0</v>
      </c>
      <c r="S121" s="20" t="b">
        <f>Data!U121</f>
        <v>0</v>
      </c>
      <c r="T121" s="20" t="b">
        <f>Data!V121</f>
        <v>0</v>
      </c>
      <c r="U121" s="20" t="b">
        <f>Data!W121</f>
        <v>0</v>
      </c>
      <c r="V121" s="20" t="b">
        <f>Data!X121</f>
        <v>1</v>
      </c>
      <c r="W121" s="20" t="b">
        <f>Data!Y121</f>
        <v>1</v>
      </c>
      <c r="X121" s="20">
        <f>Data!Z121</f>
        <v>0</v>
      </c>
      <c r="Y121" s="22">
        <f>Data!AL121</f>
        <v>0</v>
      </c>
      <c r="Z121" s="20">
        <f>Data!AC121</f>
        <v>0</v>
      </c>
      <c r="AA121" s="20">
        <f>Data!AE121</f>
        <v>0</v>
      </c>
      <c r="AB121" s="20">
        <f>Data!AG121</f>
        <v>0</v>
      </c>
      <c r="AC121" s="20" t="str">
        <f>CONCATENATE(Data!AI121," ",Data!AJ121)</f>
        <v xml:space="preserve"> </v>
      </c>
    </row>
    <row r="122" spans="1:29" ht="15">
      <c r="A122" s="20" t="str">
        <f>Data!A122</f>
        <v>デモ機</v>
      </c>
      <c r="B122" s="20" t="str">
        <f>Data!C122</f>
        <v>Entire Organization</v>
      </c>
      <c r="C122" s="20" t="str">
        <f>IF(Data!E122=0,"",Data!E122)</f>
        <v/>
      </c>
      <c r="D122" s="26">
        <f t="shared" si="1"/>
        <v>42065.868391550925</v>
      </c>
      <c r="E122" s="27">
        <f>Data!F122</f>
        <v>42065.868391550925</v>
      </c>
      <c r="F122" s="20" t="str">
        <f>Data!G122</f>
        <v>EngineStatusRecord</v>
      </c>
      <c r="G122" s="20">
        <f>Data!H122</f>
        <v>0</v>
      </c>
      <c r="H122" s="20">
        <f>Data!I122</f>
        <v>0</v>
      </c>
      <c r="I122" s="20">
        <f>Data!J122</f>
        <v>0</v>
      </c>
      <c r="J122" s="21" t="str">
        <f>IF(Data!K122=0,"",Data!K122)</f>
        <v/>
      </c>
      <c r="K122" s="22">
        <f>Data!L122</f>
        <v>0</v>
      </c>
      <c r="L122" s="21" t="str">
        <f>IF(Data!N122=0,"",Data!N122)</f>
        <v/>
      </c>
      <c r="M122" s="20">
        <f>Data!O122</f>
        <v>0</v>
      </c>
      <c r="N122" s="20">
        <f>Data!P122</f>
        <v>0</v>
      </c>
      <c r="O122" s="20">
        <f>Data!Q122</f>
        <v>0</v>
      </c>
      <c r="P122" s="20">
        <f>Data!R122</f>
        <v>0</v>
      </c>
      <c r="Q122" s="20">
        <f>Data!S122</f>
        <v>0</v>
      </c>
      <c r="R122" s="20">
        <f>Data!T122</f>
        <v>0</v>
      </c>
      <c r="S122" s="20">
        <f>Data!U122</f>
        <v>0</v>
      </c>
      <c r="T122" s="20">
        <f>Data!V122</f>
        <v>0</v>
      </c>
      <c r="U122" s="20">
        <f>Data!W122</f>
        <v>0</v>
      </c>
      <c r="V122" s="20">
        <f>Data!X122</f>
        <v>0</v>
      </c>
      <c r="W122" s="20">
        <f>Data!Y122</f>
        <v>0</v>
      </c>
      <c r="X122" s="20">
        <f>Data!Z122</f>
        <v>0</v>
      </c>
      <c r="Y122" s="22">
        <f>Data!AL122</f>
        <v>0</v>
      </c>
      <c r="Z122" s="20" t="str">
        <f>Data!AC122</f>
        <v>Engine RPM</v>
      </c>
      <c r="AA122" s="20" t="str">
        <f>Data!AE122</f>
        <v/>
      </c>
      <c r="AB122" s="20">
        <f>Data!AG122</f>
        <v>0</v>
      </c>
      <c r="AC122" s="20" t="str">
        <f>CONCATENATE(Data!AI122," ",Data!AJ122)</f>
        <v>1427 RPM</v>
      </c>
    </row>
    <row r="123" spans="1:29" ht="15">
      <c r="A123" s="20" t="str">
        <f>Data!A123</f>
        <v>デモ機</v>
      </c>
      <c r="B123" s="20" t="str">
        <f>Data!C123</f>
        <v>Entire Organization</v>
      </c>
      <c r="C123" s="20" t="str">
        <f>IF(Data!E123=0,"",Data!E123)</f>
        <v/>
      </c>
      <c r="D123" s="26">
        <f t="shared" si="1"/>
        <v>42065.868402777778</v>
      </c>
      <c r="E123" s="27">
        <f>Data!F123</f>
        <v>42065.868402777778</v>
      </c>
      <c r="F123" s="20" t="str">
        <f>Data!G123</f>
        <v>GpsRecord</v>
      </c>
      <c r="G123" s="20">
        <f>Data!H123</f>
        <v>16</v>
      </c>
      <c r="H123" s="20">
        <f>Data!I123</f>
        <v>139.40152</v>
      </c>
      <c r="I123" s="20">
        <f>Data!J123</f>
        <v>35.56915</v>
      </c>
      <c r="J123" s="21" t="str">
        <f>IF(Data!K123=0,"",Data!K123)</f>
        <v>日本, 〒252-0206 神奈川県相模原市中央区淵野辺５丁目６−５</v>
      </c>
      <c r="K123" s="22">
        <f>Data!L123</f>
        <v>0</v>
      </c>
      <c r="L123" s="21" t="str">
        <f>IF(Data!N123=0,"",Data!N123)</f>
        <v>CurveSpeed</v>
      </c>
      <c r="M123" s="20" t="b">
        <f>Data!O123</f>
        <v>1</v>
      </c>
      <c r="N123" s="20" t="b">
        <f>Data!P123</f>
        <v>0</v>
      </c>
      <c r="O123" s="20" t="b">
        <f>Data!Q123</f>
        <v>0</v>
      </c>
      <c r="P123" s="20" t="b">
        <f>Data!R123</f>
        <v>0</v>
      </c>
      <c r="Q123" s="20" t="b">
        <f>Data!S123</f>
        <v>0</v>
      </c>
      <c r="R123" s="20" t="b">
        <f>Data!T123</f>
        <v>0</v>
      </c>
      <c r="S123" s="20" t="b">
        <f>Data!U123</f>
        <v>0</v>
      </c>
      <c r="T123" s="20" t="b">
        <f>Data!V123</f>
        <v>0</v>
      </c>
      <c r="U123" s="20" t="b">
        <f>Data!W123</f>
        <v>0</v>
      </c>
      <c r="V123" s="20" t="b">
        <f>Data!X123</f>
        <v>1</v>
      </c>
      <c r="W123" s="20" t="b">
        <f>Data!Y123</f>
        <v>1</v>
      </c>
      <c r="X123" s="20">
        <f>Data!Z123</f>
        <v>0</v>
      </c>
      <c r="Y123" s="22">
        <f>Data!AL123</f>
        <v>0</v>
      </c>
      <c r="Z123" s="20">
        <f>Data!AC123</f>
        <v>0</v>
      </c>
      <c r="AA123" s="20">
        <f>Data!AE123</f>
        <v>0</v>
      </c>
      <c r="AB123" s="20">
        <f>Data!AG123</f>
        <v>0</v>
      </c>
      <c r="AC123" s="20" t="str">
        <f>CONCATENATE(Data!AI123," ",Data!AJ123)</f>
        <v xml:space="preserve"> </v>
      </c>
    </row>
    <row r="124" spans="1:29" ht="15">
      <c r="A124" s="20" t="str">
        <f>Data!A124</f>
        <v>デモ機</v>
      </c>
      <c r="B124" s="20" t="str">
        <f>Data!C124</f>
        <v>Entire Organization</v>
      </c>
      <c r="C124" s="20" t="str">
        <f>IF(Data!E124=0,"",Data!E124)</f>
        <v/>
      </c>
      <c r="D124" s="26">
        <f t="shared" si="1"/>
        <v>42065.86840806713</v>
      </c>
      <c r="E124" s="27">
        <f>Data!F124</f>
        <v>42065.86840806713</v>
      </c>
      <c r="F124" s="20" t="str">
        <f>Data!G124</f>
        <v>EngineStatusRecord</v>
      </c>
      <c r="G124" s="20">
        <f>Data!H124</f>
        <v>0</v>
      </c>
      <c r="H124" s="20">
        <f>Data!I124</f>
        <v>0</v>
      </c>
      <c r="I124" s="20">
        <f>Data!J124</f>
        <v>0</v>
      </c>
      <c r="J124" s="21" t="str">
        <f>IF(Data!K124=0,"",Data!K124)</f>
        <v/>
      </c>
      <c r="K124" s="22">
        <f>Data!L124</f>
        <v>0</v>
      </c>
      <c r="L124" s="21" t="str">
        <f>IF(Data!N124=0,"",Data!N124)</f>
        <v/>
      </c>
      <c r="M124" s="20">
        <f>Data!O124</f>
        <v>0</v>
      </c>
      <c r="N124" s="20">
        <f>Data!P124</f>
        <v>0</v>
      </c>
      <c r="O124" s="20">
        <f>Data!Q124</f>
        <v>0</v>
      </c>
      <c r="P124" s="20">
        <f>Data!R124</f>
        <v>0</v>
      </c>
      <c r="Q124" s="20">
        <f>Data!S124</f>
        <v>0</v>
      </c>
      <c r="R124" s="20">
        <f>Data!T124</f>
        <v>0</v>
      </c>
      <c r="S124" s="20">
        <f>Data!U124</f>
        <v>0</v>
      </c>
      <c r="T124" s="20">
        <f>Data!V124</f>
        <v>0</v>
      </c>
      <c r="U124" s="20">
        <f>Data!W124</f>
        <v>0</v>
      </c>
      <c r="V124" s="20">
        <f>Data!X124</f>
        <v>0</v>
      </c>
      <c r="W124" s="20">
        <f>Data!Y124</f>
        <v>0</v>
      </c>
      <c r="X124" s="20">
        <f>Data!Z124</f>
        <v>0</v>
      </c>
      <c r="Y124" s="22">
        <f>Data!AL124</f>
        <v>0</v>
      </c>
      <c r="Z124" s="20" t="str">
        <f>Data!AC124</f>
        <v>Engine coolant temperature</v>
      </c>
      <c r="AA124" s="20" t="str">
        <f>Data!AE124</f>
        <v/>
      </c>
      <c r="AB124" s="20">
        <f>Data!AG124</f>
        <v>0</v>
      </c>
      <c r="AC124" s="20" t="str">
        <f>CONCATENATE(Data!AI124," ",Data!AJ124)</f>
        <v>29 C</v>
      </c>
    </row>
    <row r="125" spans="1:29" ht="15">
      <c r="A125" s="20" t="str">
        <f>Data!A125</f>
        <v>デモ機</v>
      </c>
      <c r="B125" s="20" t="str">
        <f>Data!C125</f>
        <v>Entire Organization</v>
      </c>
      <c r="C125" s="20" t="str">
        <f>IF(Data!E125=0,"",Data!E125)</f>
        <v/>
      </c>
      <c r="D125" s="26">
        <f t="shared" si="1"/>
        <v>42065.868483796294</v>
      </c>
      <c r="E125" s="27">
        <f>Data!F125</f>
        <v>42065.868483796294</v>
      </c>
      <c r="F125" s="20" t="str">
        <f>Data!G125</f>
        <v>DebugRecord</v>
      </c>
      <c r="G125" s="20">
        <f>Data!H125</f>
        <v>0</v>
      </c>
      <c r="H125" s="20">
        <f>Data!I125</f>
        <v>0</v>
      </c>
      <c r="I125" s="20">
        <f>Data!J125</f>
        <v>0</v>
      </c>
      <c r="J125" s="21" t="str">
        <f>IF(Data!K125=0,"",Data!K125)</f>
        <v/>
      </c>
      <c r="K125" s="22">
        <f>Data!L125</f>
        <v>0</v>
      </c>
      <c r="L125" s="21" t="str">
        <f>IF(Data!N125=0,"",Data!N125)</f>
        <v>IntermittentConnectionTestProtocolCanObd</v>
      </c>
      <c r="M125" s="20">
        <f>Data!O125</f>
        <v>0</v>
      </c>
      <c r="N125" s="20">
        <f>Data!P125</f>
        <v>0</v>
      </c>
      <c r="O125" s="20">
        <f>Data!Q125</f>
        <v>0</v>
      </c>
      <c r="P125" s="20">
        <f>Data!R125</f>
        <v>0</v>
      </c>
      <c r="Q125" s="20">
        <f>Data!S125</f>
        <v>0</v>
      </c>
      <c r="R125" s="20">
        <f>Data!T125</f>
        <v>0</v>
      </c>
      <c r="S125" s="20">
        <f>Data!U125</f>
        <v>0</v>
      </c>
      <c r="T125" s="20">
        <f>Data!V125</f>
        <v>0</v>
      </c>
      <c r="U125" s="20">
        <f>Data!W125</f>
        <v>0</v>
      </c>
      <c r="V125" s="20">
        <f>Data!X125</f>
        <v>0</v>
      </c>
      <c r="W125" s="20">
        <f>Data!Y125</f>
        <v>0</v>
      </c>
      <c r="X125" s="20">
        <f>Data!Z125</f>
        <v>0</v>
      </c>
      <c r="Y125" s="22" t="str">
        <f>Data!AL125</f>
        <v>630000000000000000000000000000</v>
      </c>
      <c r="Z125" s="20">
        <f>Data!AC125</f>
        <v>0</v>
      </c>
      <c r="AA125" s="20">
        <f>Data!AE125</f>
        <v>0</v>
      </c>
      <c r="AB125" s="20">
        <f>Data!AG125</f>
        <v>0</v>
      </c>
      <c r="AC125" s="20" t="str">
        <f>CONCATENATE(Data!AI125," ",Data!AJ125)</f>
        <v xml:space="preserve"> </v>
      </c>
    </row>
    <row r="126" spans="1:29" ht="15">
      <c r="A126" s="20" t="str">
        <f>Data!A126</f>
        <v>デモ機</v>
      </c>
      <c r="B126" s="20" t="str">
        <f>Data!C126</f>
        <v>Entire Organization</v>
      </c>
      <c r="C126" s="20" t="str">
        <f>IF(Data!E126=0,"",Data!E126)</f>
        <v/>
      </c>
      <c r="D126" s="26">
        <f t="shared" si="1"/>
        <v>42065.868483877312</v>
      </c>
      <c r="E126" s="27">
        <f>Data!F126</f>
        <v>42065.868483877312</v>
      </c>
      <c r="F126" s="20" t="str">
        <f>Data!G126</f>
        <v>EngineStatusRecord</v>
      </c>
      <c r="G126" s="20">
        <f>Data!H126</f>
        <v>0</v>
      </c>
      <c r="H126" s="20">
        <f>Data!I126</f>
        <v>0</v>
      </c>
      <c r="I126" s="20">
        <f>Data!J126</f>
        <v>0</v>
      </c>
      <c r="J126" s="21" t="str">
        <f>IF(Data!K126=0,"",Data!K126)</f>
        <v/>
      </c>
      <c r="K126" s="22">
        <f>Data!L126</f>
        <v>0</v>
      </c>
      <c r="L126" s="21" t="str">
        <f>IF(Data!N126=0,"",Data!N126)</f>
        <v/>
      </c>
      <c r="M126" s="20">
        <f>Data!O126</f>
        <v>0</v>
      </c>
      <c r="N126" s="20">
        <f>Data!P126</f>
        <v>0</v>
      </c>
      <c r="O126" s="20">
        <f>Data!Q126</f>
        <v>0</v>
      </c>
      <c r="P126" s="20">
        <f>Data!R126</f>
        <v>0</v>
      </c>
      <c r="Q126" s="20">
        <f>Data!S126</f>
        <v>0</v>
      </c>
      <c r="R126" s="20">
        <f>Data!T126</f>
        <v>0</v>
      </c>
      <c r="S126" s="20">
        <f>Data!U126</f>
        <v>0</v>
      </c>
      <c r="T126" s="20">
        <f>Data!V126</f>
        <v>0</v>
      </c>
      <c r="U126" s="20">
        <f>Data!W126</f>
        <v>0</v>
      </c>
      <c r="V126" s="20">
        <f>Data!X126</f>
        <v>0</v>
      </c>
      <c r="W126" s="20">
        <f>Data!Y126</f>
        <v>0</v>
      </c>
      <c r="X126" s="20">
        <f>Data!Z126</f>
        <v>0</v>
      </c>
      <c r="Y126" s="22">
        <f>Data!AL126</f>
        <v>0</v>
      </c>
      <c r="Z126" s="20" t="str">
        <f>Data!AC126</f>
        <v>Engine RPM</v>
      </c>
      <c r="AA126" s="20" t="str">
        <f>Data!AE126</f>
        <v/>
      </c>
      <c r="AB126" s="20">
        <f>Data!AG126</f>
        <v>0</v>
      </c>
      <c r="AC126" s="20" t="str">
        <f>CONCATENATE(Data!AI126," ",Data!AJ126)</f>
        <v>885.75 RPM</v>
      </c>
    </row>
    <row r="127" spans="1:29" ht="15">
      <c r="A127" s="20" t="str">
        <f>Data!A127</f>
        <v>デモ機</v>
      </c>
      <c r="B127" s="20" t="str">
        <f>Data!C127</f>
        <v>Entire Organization</v>
      </c>
      <c r="C127" s="20" t="str">
        <f>IF(Data!E127=0,"",Data!E127)</f>
        <v/>
      </c>
      <c r="D127" s="26">
        <f t="shared" si="1"/>
        <v>42065.868495370371</v>
      </c>
      <c r="E127" s="27">
        <f>Data!F127</f>
        <v>42065.868495370371</v>
      </c>
      <c r="F127" s="20" t="str">
        <f>Data!G127</f>
        <v>GpsRecord</v>
      </c>
      <c r="G127" s="20">
        <f>Data!H127</f>
        <v>5</v>
      </c>
      <c r="H127" s="20">
        <f>Data!I127</f>
        <v>139.40134</v>
      </c>
      <c r="I127" s="20">
        <f>Data!J127</f>
        <v>35.569279999999999</v>
      </c>
      <c r="J127" s="21" t="str">
        <f>IF(Data!K127=0,"",Data!K127)</f>
        <v>日本, 〒252-0206 神奈川県相模原市中央区淵野辺５丁目４−９</v>
      </c>
      <c r="K127" s="22">
        <f>Data!L127</f>
        <v>0</v>
      </c>
      <c r="L127" s="21" t="str">
        <f>IF(Data!N127=0,"",Data!N127)</f>
        <v>CurveSpeed</v>
      </c>
      <c r="M127" s="20" t="b">
        <f>Data!O127</f>
        <v>1</v>
      </c>
      <c r="N127" s="20" t="b">
        <f>Data!P127</f>
        <v>0</v>
      </c>
      <c r="O127" s="20" t="b">
        <f>Data!Q127</f>
        <v>0</v>
      </c>
      <c r="P127" s="20" t="b">
        <f>Data!R127</f>
        <v>0</v>
      </c>
      <c r="Q127" s="20" t="b">
        <f>Data!S127</f>
        <v>0</v>
      </c>
      <c r="R127" s="20" t="b">
        <f>Data!T127</f>
        <v>0</v>
      </c>
      <c r="S127" s="20" t="b">
        <f>Data!U127</f>
        <v>0</v>
      </c>
      <c r="T127" s="20" t="b">
        <f>Data!V127</f>
        <v>0</v>
      </c>
      <c r="U127" s="20" t="b">
        <f>Data!W127</f>
        <v>0</v>
      </c>
      <c r="V127" s="20" t="b">
        <f>Data!X127</f>
        <v>1</v>
      </c>
      <c r="W127" s="20" t="b">
        <f>Data!Y127</f>
        <v>1</v>
      </c>
      <c r="X127" s="20">
        <f>Data!Z127</f>
        <v>0</v>
      </c>
      <c r="Y127" s="22">
        <f>Data!AL127</f>
        <v>0</v>
      </c>
      <c r="Z127" s="20">
        <f>Data!AC127</f>
        <v>0</v>
      </c>
      <c r="AA127" s="20">
        <f>Data!AE127</f>
        <v>0</v>
      </c>
      <c r="AB127" s="20">
        <f>Data!AG127</f>
        <v>0</v>
      </c>
      <c r="AC127" s="20" t="str">
        <f>CONCATENATE(Data!AI127," ",Data!AJ127)</f>
        <v xml:space="preserve"> </v>
      </c>
    </row>
    <row r="128" spans="1:29" ht="15">
      <c r="A128" s="20" t="str">
        <f>Data!A128</f>
        <v>デモ機</v>
      </c>
      <c r="B128" s="20" t="str">
        <f>Data!C128</f>
        <v>Entire Organization</v>
      </c>
      <c r="C128" s="20" t="str">
        <f>IF(Data!E128=0,"",Data!E128)</f>
        <v/>
      </c>
      <c r="D128" s="26">
        <f t="shared" si="1"/>
        <v>42065.868507175925</v>
      </c>
      <c r="E128" s="27">
        <f>Data!F128</f>
        <v>42065.868507175925</v>
      </c>
      <c r="F128" s="20" t="str">
        <f>Data!G128</f>
        <v>EngineStatusRecord</v>
      </c>
      <c r="G128" s="20">
        <f>Data!H128</f>
        <v>0</v>
      </c>
      <c r="H128" s="20">
        <f>Data!I128</f>
        <v>0</v>
      </c>
      <c r="I128" s="20">
        <f>Data!J128</f>
        <v>0</v>
      </c>
      <c r="J128" s="21" t="str">
        <f>IF(Data!K128=0,"",Data!K128)</f>
        <v/>
      </c>
      <c r="K128" s="22">
        <f>Data!L128</f>
        <v>0</v>
      </c>
      <c r="L128" s="21" t="str">
        <f>IF(Data!N128=0,"",Data!N128)</f>
        <v/>
      </c>
      <c r="M128" s="20">
        <f>Data!O128</f>
        <v>0</v>
      </c>
      <c r="N128" s="20">
        <f>Data!P128</f>
        <v>0</v>
      </c>
      <c r="O128" s="20">
        <f>Data!Q128</f>
        <v>0</v>
      </c>
      <c r="P128" s="20">
        <f>Data!R128</f>
        <v>0</v>
      </c>
      <c r="Q128" s="20">
        <f>Data!S128</f>
        <v>0</v>
      </c>
      <c r="R128" s="20">
        <f>Data!T128</f>
        <v>0</v>
      </c>
      <c r="S128" s="20">
        <f>Data!U128</f>
        <v>0</v>
      </c>
      <c r="T128" s="20">
        <f>Data!V128</f>
        <v>0</v>
      </c>
      <c r="U128" s="20">
        <f>Data!W128</f>
        <v>0</v>
      </c>
      <c r="V128" s="20">
        <f>Data!X128</f>
        <v>0</v>
      </c>
      <c r="W128" s="20">
        <f>Data!Y128</f>
        <v>0</v>
      </c>
      <c r="X128" s="20">
        <f>Data!Z128</f>
        <v>0</v>
      </c>
      <c r="Y128" s="22">
        <f>Data!AL128</f>
        <v>0</v>
      </c>
      <c r="Z128" s="20" t="str">
        <f>Data!AC128</f>
        <v>Engine RPM</v>
      </c>
      <c r="AA128" s="20" t="str">
        <f>Data!AE128</f>
        <v/>
      </c>
      <c r="AB128" s="20">
        <f>Data!AG128</f>
        <v>0</v>
      </c>
      <c r="AC128" s="20" t="str">
        <f>CONCATENATE(Data!AI128," ",Data!AJ128)</f>
        <v>1981.5 RPM</v>
      </c>
    </row>
    <row r="129" spans="1:29" ht="15">
      <c r="A129" s="20" t="str">
        <f>Data!A129</f>
        <v>デモ機</v>
      </c>
      <c r="B129" s="20" t="str">
        <f>Data!C129</f>
        <v>Entire Organization</v>
      </c>
      <c r="C129" s="20" t="str">
        <f>IF(Data!E129=0,"",Data!E129)</f>
        <v/>
      </c>
      <c r="D129" s="26">
        <f t="shared" si="1"/>
        <v>42065.868541747688</v>
      </c>
      <c r="E129" s="27">
        <f>Data!F129</f>
        <v>42065.868541747688</v>
      </c>
      <c r="F129" s="20" t="str">
        <f>Data!G129</f>
        <v>EngineStatusRecord</v>
      </c>
      <c r="G129" s="20">
        <f>Data!H129</f>
        <v>0</v>
      </c>
      <c r="H129" s="20">
        <f>Data!I129</f>
        <v>0</v>
      </c>
      <c r="I129" s="20">
        <f>Data!J129</f>
        <v>0</v>
      </c>
      <c r="J129" s="21" t="str">
        <f>IF(Data!K129=0,"",Data!K129)</f>
        <v/>
      </c>
      <c r="K129" s="22">
        <f>Data!L129</f>
        <v>0</v>
      </c>
      <c r="L129" s="21" t="str">
        <f>IF(Data!N129=0,"",Data!N129)</f>
        <v/>
      </c>
      <c r="M129" s="20">
        <f>Data!O129</f>
        <v>0</v>
      </c>
      <c r="N129" s="20">
        <f>Data!P129</f>
        <v>0</v>
      </c>
      <c r="O129" s="20">
        <f>Data!Q129</f>
        <v>0</v>
      </c>
      <c r="P129" s="20">
        <f>Data!R129</f>
        <v>0</v>
      </c>
      <c r="Q129" s="20">
        <f>Data!S129</f>
        <v>0</v>
      </c>
      <c r="R129" s="20">
        <f>Data!T129</f>
        <v>0</v>
      </c>
      <c r="S129" s="20">
        <f>Data!U129</f>
        <v>0</v>
      </c>
      <c r="T129" s="20">
        <f>Data!V129</f>
        <v>0</v>
      </c>
      <c r="U129" s="20">
        <f>Data!W129</f>
        <v>0</v>
      </c>
      <c r="V129" s="20">
        <f>Data!X129</f>
        <v>0</v>
      </c>
      <c r="W129" s="20">
        <f>Data!Y129</f>
        <v>0</v>
      </c>
      <c r="X129" s="20">
        <f>Data!Z129</f>
        <v>0</v>
      </c>
      <c r="Y129" s="22">
        <f>Data!AL129</f>
        <v>0</v>
      </c>
      <c r="Z129" s="20" t="str">
        <f>Data!AC129</f>
        <v>Engine RPM</v>
      </c>
      <c r="AA129" s="20" t="str">
        <f>Data!AE129</f>
        <v/>
      </c>
      <c r="AB129" s="20">
        <f>Data!AG129</f>
        <v>0</v>
      </c>
      <c r="AC129" s="20" t="str">
        <f>CONCATENATE(Data!AI129," ",Data!AJ129)</f>
        <v>1124.75 RPM</v>
      </c>
    </row>
    <row r="130" spans="1:29" ht="15">
      <c r="A130" s="20" t="str">
        <f>Data!A130</f>
        <v>デモ機</v>
      </c>
      <c r="B130" s="20" t="str">
        <f>Data!C130</f>
        <v>Entire Organization</v>
      </c>
      <c r="C130" s="20" t="str">
        <f>IF(Data!E130=0,"",Data!E130)</f>
        <v/>
      </c>
      <c r="D130" s="26">
        <f t="shared" si="1"/>
        <v>42065.868576388886</v>
      </c>
      <c r="E130" s="27">
        <f>Data!F130</f>
        <v>42065.868576388886</v>
      </c>
      <c r="F130" s="20" t="str">
        <f>Data!G130</f>
        <v>GpsRecord</v>
      </c>
      <c r="G130" s="20">
        <f>Data!H130</f>
        <v>16</v>
      </c>
      <c r="H130" s="20">
        <f>Data!I130</f>
        <v>139.40117000000001</v>
      </c>
      <c r="I130" s="20">
        <f>Data!J130</f>
        <v>35.569479999999999</v>
      </c>
      <c r="J130" s="21" t="str">
        <f>IF(Data!K130=0,"",Data!K130)</f>
        <v>日本, 〒252-0206 神奈川県相模原市中央区淵野辺５丁目４−９</v>
      </c>
      <c r="K130" s="22">
        <f>Data!L130</f>
        <v>0</v>
      </c>
      <c r="L130" s="21" t="str">
        <f>IF(Data!N130=0,"",Data!N130)</f>
        <v>CurveSpeed</v>
      </c>
      <c r="M130" s="20" t="b">
        <f>Data!O130</f>
        <v>1</v>
      </c>
      <c r="N130" s="20" t="b">
        <f>Data!P130</f>
        <v>0</v>
      </c>
      <c r="O130" s="20" t="b">
        <f>Data!Q130</f>
        <v>0</v>
      </c>
      <c r="P130" s="20" t="b">
        <f>Data!R130</f>
        <v>0</v>
      </c>
      <c r="Q130" s="20" t="b">
        <f>Data!S130</f>
        <v>0</v>
      </c>
      <c r="R130" s="20" t="b">
        <f>Data!T130</f>
        <v>0</v>
      </c>
      <c r="S130" s="20" t="b">
        <f>Data!U130</f>
        <v>0</v>
      </c>
      <c r="T130" s="20" t="b">
        <f>Data!V130</f>
        <v>0</v>
      </c>
      <c r="U130" s="20" t="b">
        <f>Data!W130</f>
        <v>0</v>
      </c>
      <c r="V130" s="20" t="b">
        <f>Data!X130</f>
        <v>1</v>
      </c>
      <c r="W130" s="20" t="b">
        <f>Data!Y130</f>
        <v>1</v>
      </c>
      <c r="X130" s="20">
        <f>Data!Z130</f>
        <v>0</v>
      </c>
      <c r="Y130" s="22">
        <f>Data!AL130</f>
        <v>0</v>
      </c>
      <c r="Z130" s="20">
        <f>Data!AC130</f>
        <v>0</v>
      </c>
      <c r="AA130" s="20">
        <f>Data!AE130</f>
        <v>0</v>
      </c>
      <c r="AB130" s="20">
        <f>Data!AG130</f>
        <v>0</v>
      </c>
      <c r="AC130" s="20" t="str">
        <f>CONCATENATE(Data!AI130," ",Data!AJ130)</f>
        <v xml:space="preserve"> </v>
      </c>
    </row>
    <row r="131" spans="1:29" ht="15">
      <c r="A131" s="20" t="str">
        <f>Data!A131</f>
        <v>デモ機</v>
      </c>
      <c r="B131" s="20" t="str">
        <f>Data!C131</f>
        <v>Entire Organization</v>
      </c>
      <c r="C131" s="20" t="str">
        <f>IF(Data!E131=0,"",Data!E131)</f>
        <v/>
      </c>
      <c r="D131" s="26">
        <f t="shared" si="1"/>
        <v>42065.868657407409</v>
      </c>
      <c r="E131" s="27">
        <f>Data!F131</f>
        <v>42065.868657407409</v>
      </c>
      <c r="F131" s="20" t="str">
        <f>Data!G131</f>
        <v>GpsRecord</v>
      </c>
      <c r="G131" s="20">
        <f>Data!H131</f>
        <v>0</v>
      </c>
      <c r="H131" s="20">
        <f>Data!I131</f>
        <v>139.40102999999999</v>
      </c>
      <c r="I131" s="20">
        <f>Data!J131</f>
        <v>35.569609999999997</v>
      </c>
      <c r="J131" s="21" t="str">
        <f>IF(Data!K131=0,"",Data!K131)</f>
        <v>日本, 〒252-0206 神奈川県相模原市中央区淵野辺５丁目８−１</v>
      </c>
      <c r="K131" s="22">
        <f>Data!L131</f>
        <v>0</v>
      </c>
      <c r="L131" s="21" t="str">
        <f>IF(Data!N131=0,"",Data!N131)</f>
        <v>CurveZeroSpeed</v>
      </c>
      <c r="M131" s="20" t="b">
        <f>Data!O131</f>
        <v>1</v>
      </c>
      <c r="N131" s="20" t="b">
        <f>Data!P131</f>
        <v>0</v>
      </c>
      <c r="O131" s="20" t="b">
        <f>Data!Q131</f>
        <v>0</v>
      </c>
      <c r="P131" s="20" t="b">
        <f>Data!R131</f>
        <v>0</v>
      </c>
      <c r="Q131" s="20" t="b">
        <f>Data!S131</f>
        <v>0</v>
      </c>
      <c r="R131" s="20" t="b">
        <f>Data!T131</f>
        <v>0</v>
      </c>
      <c r="S131" s="20" t="b">
        <f>Data!U131</f>
        <v>0</v>
      </c>
      <c r="T131" s="20" t="b">
        <f>Data!V131</f>
        <v>0</v>
      </c>
      <c r="U131" s="20" t="b">
        <f>Data!W131</f>
        <v>0</v>
      </c>
      <c r="V131" s="20" t="b">
        <f>Data!X131</f>
        <v>1</v>
      </c>
      <c r="W131" s="20" t="b">
        <f>Data!Y131</f>
        <v>1</v>
      </c>
      <c r="X131" s="20">
        <f>Data!Z131</f>
        <v>0</v>
      </c>
      <c r="Y131" s="22">
        <f>Data!AL131</f>
        <v>0</v>
      </c>
      <c r="Z131" s="20">
        <f>Data!AC131</f>
        <v>0</v>
      </c>
      <c r="AA131" s="20">
        <f>Data!AE131</f>
        <v>0</v>
      </c>
      <c r="AB131" s="20">
        <f>Data!AG131</f>
        <v>0</v>
      </c>
      <c r="AC131" s="20" t="str">
        <f>CONCATENATE(Data!AI131," ",Data!AJ131)</f>
        <v xml:space="preserve"> </v>
      </c>
    </row>
    <row r="132" spans="1:29" ht="15">
      <c r="A132" s="20" t="str">
        <f>Data!A132</f>
        <v>デモ機</v>
      </c>
      <c r="B132" s="20" t="str">
        <f>Data!C132</f>
        <v>Entire Organization</v>
      </c>
      <c r="C132" s="20" t="str">
        <f>IF(Data!E132=0,"",Data!E132)</f>
        <v/>
      </c>
      <c r="D132" s="26">
        <f t="shared" si="1"/>
        <v>42065.868668981479</v>
      </c>
      <c r="E132" s="27">
        <f>Data!F132</f>
        <v>42065.868668981479</v>
      </c>
      <c r="F132" s="20" t="str">
        <f>Data!G132</f>
        <v>GpsRecord</v>
      </c>
      <c r="G132" s="20">
        <f>Data!H132</f>
        <v>2</v>
      </c>
      <c r="H132" s="20">
        <f>Data!I132</f>
        <v>139.40102999999999</v>
      </c>
      <c r="I132" s="20">
        <f>Data!J132</f>
        <v>35.569609999999997</v>
      </c>
      <c r="J132" s="21" t="str">
        <f>IF(Data!K132=0,"",Data!K132)</f>
        <v>日本, 〒252-0206 神奈川県相模原市中央区淵野辺５丁目８−１</v>
      </c>
      <c r="K132" s="22">
        <f>Data!L132</f>
        <v>0</v>
      </c>
      <c r="L132" s="21" t="str">
        <f>IF(Data!N132=0,"",Data!N132)</f>
        <v>CurveZeroSpeed</v>
      </c>
      <c r="M132" s="20" t="b">
        <f>Data!O132</f>
        <v>1</v>
      </c>
      <c r="N132" s="20" t="b">
        <f>Data!P132</f>
        <v>0</v>
      </c>
      <c r="O132" s="20" t="b">
        <f>Data!Q132</f>
        <v>0</v>
      </c>
      <c r="P132" s="20" t="b">
        <f>Data!R132</f>
        <v>0</v>
      </c>
      <c r="Q132" s="20" t="b">
        <f>Data!S132</f>
        <v>0</v>
      </c>
      <c r="R132" s="20" t="b">
        <f>Data!T132</f>
        <v>0</v>
      </c>
      <c r="S132" s="20" t="b">
        <f>Data!U132</f>
        <v>0</v>
      </c>
      <c r="T132" s="20" t="b">
        <f>Data!V132</f>
        <v>0</v>
      </c>
      <c r="U132" s="20" t="b">
        <f>Data!W132</f>
        <v>0</v>
      </c>
      <c r="V132" s="20" t="b">
        <f>Data!X132</f>
        <v>1</v>
      </c>
      <c r="W132" s="20" t="b">
        <f>Data!Y132</f>
        <v>1</v>
      </c>
      <c r="X132" s="20">
        <f>Data!Z132</f>
        <v>0</v>
      </c>
      <c r="Y132" s="22">
        <f>Data!AL132</f>
        <v>0</v>
      </c>
      <c r="Z132" s="20">
        <f>Data!AC132</f>
        <v>0</v>
      </c>
      <c r="AA132" s="20">
        <f>Data!AE132</f>
        <v>0</v>
      </c>
      <c r="AB132" s="20">
        <f>Data!AG132</f>
        <v>0</v>
      </c>
      <c r="AC132" s="20" t="str">
        <f>CONCATENATE(Data!AI132," ",Data!AJ132)</f>
        <v xml:space="preserve"> </v>
      </c>
    </row>
    <row r="133" spans="1:29" ht="15">
      <c r="A133" s="20" t="str">
        <f>Data!A133</f>
        <v>デモ機</v>
      </c>
      <c r="B133" s="20" t="str">
        <f>Data!C133</f>
        <v>Entire Organization</v>
      </c>
      <c r="C133" s="20" t="str">
        <f>IF(Data!E133=0,"",Data!E133)</f>
        <v/>
      </c>
      <c r="D133" s="26">
        <f t="shared" si="1"/>
        <v>42065.868703784719</v>
      </c>
      <c r="E133" s="27">
        <f>Data!F133</f>
        <v>42065.868703784719</v>
      </c>
      <c r="F133" s="20" t="str">
        <f>Data!G133</f>
        <v>EngineStatusRecord</v>
      </c>
      <c r="G133" s="20">
        <f>Data!H133</f>
        <v>0</v>
      </c>
      <c r="H133" s="20">
        <f>Data!I133</f>
        <v>0</v>
      </c>
      <c r="I133" s="20">
        <f>Data!J133</f>
        <v>0</v>
      </c>
      <c r="J133" s="21" t="str">
        <f>IF(Data!K133=0,"",Data!K133)</f>
        <v/>
      </c>
      <c r="K133" s="22">
        <f>Data!L133</f>
        <v>0</v>
      </c>
      <c r="L133" s="21" t="str">
        <f>IF(Data!N133=0,"",Data!N133)</f>
        <v/>
      </c>
      <c r="M133" s="20">
        <f>Data!O133</f>
        <v>0</v>
      </c>
      <c r="N133" s="20">
        <f>Data!P133</f>
        <v>0</v>
      </c>
      <c r="O133" s="20">
        <f>Data!Q133</f>
        <v>0</v>
      </c>
      <c r="P133" s="20">
        <f>Data!R133</f>
        <v>0</v>
      </c>
      <c r="Q133" s="20">
        <f>Data!S133</f>
        <v>0</v>
      </c>
      <c r="R133" s="20">
        <f>Data!T133</f>
        <v>0</v>
      </c>
      <c r="S133" s="20">
        <f>Data!U133</f>
        <v>0</v>
      </c>
      <c r="T133" s="20">
        <f>Data!V133</f>
        <v>0</v>
      </c>
      <c r="U133" s="20">
        <f>Data!W133</f>
        <v>0</v>
      </c>
      <c r="V133" s="20">
        <f>Data!X133</f>
        <v>0</v>
      </c>
      <c r="W133" s="20">
        <f>Data!Y133</f>
        <v>0</v>
      </c>
      <c r="X133" s="20">
        <f>Data!Z133</f>
        <v>0</v>
      </c>
      <c r="Y133" s="22">
        <f>Data!AL133</f>
        <v>0</v>
      </c>
      <c r="Z133" s="20" t="str">
        <f>Data!AC133</f>
        <v>Engine RPM</v>
      </c>
      <c r="AA133" s="20" t="str">
        <f>Data!AE133</f>
        <v/>
      </c>
      <c r="AB133" s="20">
        <f>Data!AG133</f>
        <v>0</v>
      </c>
      <c r="AC133" s="20" t="str">
        <f>CONCATENATE(Data!AI133," ",Data!AJ133)</f>
        <v>854.75 RPM</v>
      </c>
    </row>
    <row r="134" spans="1:29" ht="15">
      <c r="A134" s="20" t="str">
        <f>Data!A134</f>
        <v>デモ機</v>
      </c>
      <c r="B134" s="20" t="str">
        <f>Data!C134</f>
        <v>Entire Organization</v>
      </c>
      <c r="C134" s="20" t="str">
        <f>IF(Data!E134=0,"",Data!E134)</f>
        <v/>
      </c>
      <c r="D134" s="26">
        <f t="shared" si="1"/>
        <v>42065.868750000001</v>
      </c>
      <c r="E134" s="27">
        <f>Data!F134</f>
        <v>42065.868750000001</v>
      </c>
      <c r="F134" s="20" t="str">
        <f>Data!G134</f>
        <v>GpsRecord</v>
      </c>
      <c r="G134" s="20">
        <f>Data!H134</f>
        <v>13</v>
      </c>
      <c r="H134" s="20">
        <f>Data!I134</f>
        <v>139.40101999999999</v>
      </c>
      <c r="I134" s="20">
        <f>Data!J134</f>
        <v>35.569690000000001</v>
      </c>
      <c r="J134" s="21" t="str">
        <f>IF(Data!K134=0,"",Data!K134)</f>
        <v>日本, 神奈川県相模原市中央区 県道57号線</v>
      </c>
      <c r="K134" s="22">
        <f>Data!L134</f>
        <v>0</v>
      </c>
      <c r="L134" s="21" t="str">
        <f>IF(Data!N134=0,"",Data!N134)</f>
        <v>CurveBased</v>
      </c>
      <c r="M134" s="20" t="b">
        <f>Data!O134</f>
        <v>1</v>
      </c>
      <c r="N134" s="20" t="b">
        <f>Data!P134</f>
        <v>0</v>
      </c>
      <c r="O134" s="20" t="b">
        <f>Data!Q134</f>
        <v>0</v>
      </c>
      <c r="P134" s="20" t="b">
        <f>Data!R134</f>
        <v>0</v>
      </c>
      <c r="Q134" s="20" t="b">
        <f>Data!S134</f>
        <v>0</v>
      </c>
      <c r="R134" s="20" t="b">
        <f>Data!T134</f>
        <v>0</v>
      </c>
      <c r="S134" s="20" t="b">
        <f>Data!U134</f>
        <v>0</v>
      </c>
      <c r="T134" s="20" t="b">
        <f>Data!V134</f>
        <v>0</v>
      </c>
      <c r="U134" s="20" t="b">
        <f>Data!W134</f>
        <v>0</v>
      </c>
      <c r="V134" s="20" t="b">
        <f>Data!X134</f>
        <v>1</v>
      </c>
      <c r="W134" s="20" t="b">
        <f>Data!Y134</f>
        <v>1</v>
      </c>
      <c r="X134" s="20">
        <f>Data!Z134</f>
        <v>0</v>
      </c>
      <c r="Y134" s="22">
        <f>Data!AL134</f>
        <v>0</v>
      </c>
      <c r="Z134" s="20">
        <f>Data!AC134</f>
        <v>0</v>
      </c>
      <c r="AA134" s="20">
        <f>Data!AE134</f>
        <v>0</v>
      </c>
      <c r="AB134" s="20">
        <f>Data!AG134</f>
        <v>0</v>
      </c>
      <c r="AC134" s="20" t="str">
        <f>CONCATENATE(Data!AI134," ",Data!AJ134)</f>
        <v xml:space="preserve"> </v>
      </c>
    </row>
    <row r="135" spans="1:29" ht="15">
      <c r="A135" s="20" t="str">
        <f>Data!A135</f>
        <v>デモ機</v>
      </c>
      <c r="B135" s="20" t="str">
        <f>Data!C135</f>
        <v>Entire Organization</v>
      </c>
      <c r="C135" s="20" t="str">
        <f>IF(Data!E135=0,"",Data!E135)</f>
        <v/>
      </c>
      <c r="D135" s="26">
        <f t="shared" si="1"/>
        <v>42065.868773298615</v>
      </c>
      <c r="E135" s="27">
        <f>Data!F135</f>
        <v>42065.868773298615</v>
      </c>
      <c r="F135" s="20" t="str">
        <f>Data!G135</f>
        <v>EngineStatusRecord</v>
      </c>
      <c r="G135" s="20">
        <f>Data!H135</f>
        <v>0</v>
      </c>
      <c r="H135" s="20">
        <f>Data!I135</f>
        <v>0</v>
      </c>
      <c r="I135" s="20">
        <f>Data!J135</f>
        <v>0</v>
      </c>
      <c r="J135" s="21" t="str">
        <f>IF(Data!K135=0,"",Data!K135)</f>
        <v/>
      </c>
      <c r="K135" s="22">
        <f>Data!L135</f>
        <v>0</v>
      </c>
      <c r="L135" s="21" t="str">
        <f>IF(Data!N135=0,"",Data!N135)</f>
        <v/>
      </c>
      <c r="M135" s="20">
        <f>Data!O135</f>
        <v>0</v>
      </c>
      <c r="N135" s="20">
        <f>Data!P135</f>
        <v>0</v>
      </c>
      <c r="O135" s="20">
        <f>Data!Q135</f>
        <v>0</v>
      </c>
      <c r="P135" s="20">
        <f>Data!R135</f>
        <v>0</v>
      </c>
      <c r="Q135" s="20">
        <f>Data!S135</f>
        <v>0</v>
      </c>
      <c r="R135" s="20">
        <f>Data!T135</f>
        <v>0</v>
      </c>
      <c r="S135" s="20">
        <f>Data!U135</f>
        <v>0</v>
      </c>
      <c r="T135" s="20">
        <f>Data!V135</f>
        <v>0</v>
      </c>
      <c r="U135" s="20">
        <f>Data!W135</f>
        <v>0</v>
      </c>
      <c r="V135" s="20">
        <f>Data!X135</f>
        <v>0</v>
      </c>
      <c r="W135" s="20">
        <f>Data!Y135</f>
        <v>0</v>
      </c>
      <c r="X135" s="20">
        <f>Data!Z135</f>
        <v>0</v>
      </c>
      <c r="Y135" s="22">
        <f>Data!AL135</f>
        <v>0</v>
      </c>
      <c r="Z135" s="20" t="str">
        <f>Data!AC135</f>
        <v>Engine RPM</v>
      </c>
      <c r="AA135" s="20" t="str">
        <f>Data!AE135</f>
        <v/>
      </c>
      <c r="AB135" s="20">
        <f>Data!AG135</f>
        <v>0</v>
      </c>
      <c r="AC135" s="20" t="str">
        <f>CONCATENATE(Data!AI135," ",Data!AJ135)</f>
        <v>2025.5 RPM</v>
      </c>
    </row>
    <row r="136" spans="1:29" ht="15">
      <c r="A136" s="20" t="str">
        <f>Data!A136</f>
        <v>デモ機</v>
      </c>
      <c r="B136" s="20" t="str">
        <f>Data!C136</f>
        <v>Entire Organization</v>
      </c>
      <c r="C136" s="20" t="str">
        <f>IF(Data!E136=0,"",Data!E136)</f>
        <v/>
      </c>
      <c r="D136" s="26">
        <f t="shared" si="1"/>
        <v>42065.86886574074</v>
      </c>
      <c r="E136" s="27">
        <f>Data!F136</f>
        <v>42065.86886574074</v>
      </c>
      <c r="F136" s="20" t="str">
        <f>Data!G136</f>
        <v>GpsRecord</v>
      </c>
      <c r="G136" s="20">
        <f>Data!H136</f>
        <v>41</v>
      </c>
      <c r="H136" s="20">
        <f>Data!I136</f>
        <v>139.40167</v>
      </c>
      <c r="I136" s="20">
        <f>Data!J136</f>
        <v>35.5702</v>
      </c>
      <c r="J136" s="21" t="str">
        <f>IF(Data!K136=0,"",Data!K136)</f>
        <v>日本, 神奈川県相模原市中央区 県道57号線</v>
      </c>
      <c r="K136" s="22">
        <f>Data!L136</f>
        <v>0</v>
      </c>
      <c r="L136" s="21" t="str">
        <f>IF(Data!N136=0,"",Data!N136)</f>
        <v>CurveSpeed</v>
      </c>
      <c r="M136" s="20" t="b">
        <f>Data!O136</f>
        <v>1</v>
      </c>
      <c r="N136" s="20" t="b">
        <f>Data!P136</f>
        <v>0</v>
      </c>
      <c r="O136" s="20" t="b">
        <f>Data!Q136</f>
        <v>0</v>
      </c>
      <c r="P136" s="20" t="b">
        <f>Data!R136</f>
        <v>0</v>
      </c>
      <c r="Q136" s="20" t="b">
        <f>Data!S136</f>
        <v>0</v>
      </c>
      <c r="R136" s="20" t="b">
        <f>Data!T136</f>
        <v>0</v>
      </c>
      <c r="S136" s="20" t="b">
        <f>Data!U136</f>
        <v>0</v>
      </c>
      <c r="T136" s="20" t="b">
        <f>Data!V136</f>
        <v>0</v>
      </c>
      <c r="U136" s="20" t="b">
        <f>Data!W136</f>
        <v>0</v>
      </c>
      <c r="V136" s="20" t="b">
        <f>Data!X136</f>
        <v>1</v>
      </c>
      <c r="W136" s="20" t="b">
        <f>Data!Y136</f>
        <v>1</v>
      </c>
      <c r="X136" s="20">
        <f>Data!Z136</f>
        <v>0</v>
      </c>
      <c r="Y136" s="22">
        <f>Data!AL136</f>
        <v>0</v>
      </c>
      <c r="Z136" s="20">
        <f>Data!AC136</f>
        <v>0</v>
      </c>
      <c r="AA136" s="20">
        <f>Data!AE136</f>
        <v>0</v>
      </c>
      <c r="AB136" s="20">
        <f>Data!AG136</f>
        <v>0</v>
      </c>
      <c r="AC136" s="20" t="str">
        <f>CONCATENATE(Data!AI136," ",Data!AJ136)</f>
        <v xml:space="preserve"> </v>
      </c>
    </row>
    <row r="137" spans="1:29" ht="15">
      <c r="A137" s="20" t="str">
        <f>Data!A137</f>
        <v>デモ機</v>
      </c>
      <c r="B137" s="20" t="str">
        <f>Data!C137</f>
        <v>Entire Organization</v>
      </c>
      <c r="C137" s="20" t="str">
        <f>IF(Data!E137=0,"",Data!E137)</f>
        <v/>
      </c>
      <c r="D137" s="26">
        <f t="shared" ref="D137:D200" si="2">E137</f>
        <v>42065.868865891207</v>
      </c>
      <c r="E137" s="27">
        <f>Data!F137</f>
        <v>42065.868865891207</v>
      </c>
      <c r="F137" s="20" t="str">
        <f>Data!G137</f>
        <v>EngineStatusRecord</v>
      </c>
      <c r="G137" s="20">
        <f>Data!H137</f>
        <v>0</v>
      </c>
      <c r="H137" s="20">
        <f>Data!I137</f>
        <v>0</v>
      </c>
      <c r="I137" s="20">
        <f>Data!J137</f>
        <v>0</v>
      </c>
      <c r="J137" s="21" t="str">
        <f>IF(Data!K137=0,"",Data!K137)</f>
        <v/>
      </c>
      <c r="K137" s="22">
        <f>Data!L137</f>
        <v>0</v>
      </c>
      <c r="L137" s="21" t="str">
        <f>IF(Data!N137=0,"",Data!N137)</f>
        <v/>
      </c>
      <c r="M137" s="20">
        <f>Data!O137</f>
        <v>0</v>
      </c>
      <c r="N137" s="20">
        <f>Data!P137</f>
        <v>0</v>
      </c>
      <c r="O137" s="20">
        <f>Data!Q137</f>
        <v>0</v>
      </c>
      <c r="P137" s="20">
        <f>Data!R137</f>
        <v>0</v>
      </c>
      <c r="Q137" s="20">
        <f>Data!S137</f>
        <v>0</v>
      </c>
      <c r="R137" s="20">
        <f>Data!T137</f>
        <v>0</v>
      </c>
      <c r="S137" s="20">
        <f>Data!U137</f>
        <v>0</v>
      </c>
      <c r="T137" s="20">
        <f>Data!V137</f>
        <v>0</v>
      </c>
      <c r="U137" s="20">
        <f>Data!W137</f>
        <v>0</v>
      </c>
      <c r="V137" s="20">
        <f>Data!X137</f>
        <v>0</v>
      </c>
      <c r="W137" s="20">
        <f>Data!Y137</f>
        <v>0</v>
      </c>
      <c r="X137" s="20">
        <f>Data!Z137</f>
        <v>0</v>
      </c>
      <c r="Y137" s="22">
        <f>Data!AL137</f>
        <v>0</v>
      </c>
      <c r="Z137" s="20" t="str">
        <f>Data!AC137</f>
        <v>Engine RPM</v>
      </c>
      <c r="AA137" s="20" t="str">
        <f>Data!AE137</f>
        <v/>
      </c>
      <c r="AB137" s="20">
        <f>Data!AG137</f>
        <v>0</v>
      </c>
      <c r="AC137" s="20" t="str">
        <f>CONCATENATE(Data!AI137," ",Data!AJ137)</f>
        <v>1231.5 RPM</v>
      </c>
    </row>
    <row r="138" spans="1:29" ht="15">
      <c r="A138" s="20" t="str">
        <f>Data!A138</f>
        <v>デモ機</v>
      </c>
      <c r="B138" s="20" t="str">
        <f>Data!C138</f>
        <v>Entire Organization</v>
      </c>
      <c r="C138" s="20" t="str">
        <f>IF(Data!E138=0,"",Data!E138)</f>
        <v/>
      </c>
      <c r="D138" s="26">
        <f t="shared" si="2"/>
        <v>42065.868870335646</v>
      </c>
      <c r="E138" s="27">
        <f>Data!F138</f>
        <v>42065.868870335646</v>
      </c>
      <c r="F138" s="20" t="str">
        <f>Data!G138</f>
        <v>EngineStatusRecord</v>
      </c>
      <c r="G138" s="20">
        <f>Data!H138</f>
        <v>0</v>
      </c>
      <c r="H138" s="20">
        <f>Data!I138</f>
        <v>0</v>
      </c>
      <c r="I138" s="20">
        <f>Data!J138</f>
        <v>0</v>
      </c>
      <c r="J138" s="21" t="str">
        <f>IF(Data!K138=0,"",Data!K138)</f>
        <v/>
      </c>
      <c r="K138" s="22">
        <f>Data!L138</f>
        <v>0</v>
      </c>
      <c r="L138" s="21" t="str">
        <f>IF(Data!N138=0,"",Data!N138)</f>
        <v/>
      </c>
      <c r="M138" s="20">
        <f>Data!O138</f>
        <v>0</v>
      </c>
      <c r="N138" s="20">
        <f>Data!P138</f>
        <v>0</v>
      </c>
      <c r="O138" s="20">
        <f>Data!Q138</f>
        <v>0</v>
      </c>
      <c r="P138" s="20">
        <f>Data!R138</f>
        <v>0</v>
      </c>
      <c r="Q138" s="20">
        <f>Data!S138</f>
        <v>0</v>
      </c>
      <c r="R138" s="20">
        <f>Data!T138</f>
        <v>0</v>
      </c>
      <c r="S138" s="20">
        <f>Data!U138</f>
        <v>0</v>
      </c>
      <c r="T138" s="20">
        <f>Data!V138</f>
        <v>0</v>
      </c>
      <c r="U138" s="20">
        <f>Data!W138</f>
        <v>0</v>
      </c>
      <c r="V138" s="20">
        <f>Data!X138</f>
        <v>0</v>
      </c>
      <c r="W138" s="20">
        <f>Data!Y138</f>
        <v>0</v>
      </c>
      <c r="X138" s="20">
        <f>Data!Z138</f>
        <v>0</v>
      </c>
      <c r="Y138" s="22">
        <f>Data!AL138</f>
        <v>0</v>
      </c>
      <c r="Z138" s="20" t="str">
        <f>Data!AC138</f>
        <v>Telematics device voltage</v>
      </c>
      <c r="AA138" s="20" t="str">
        <f>Data!AE138</f>
        <v/>
      </c>
      <c r="AB138" s="20">
        <f>Data!AG138</f>
        <v>0</v>
      </c>
      <c r="AC138" s="20" t="str">
        <f>CONCATENATE(Data!AI138," ",Data!AJ138)</f>
        <v>14.2533331 V</v>
      </c>
    </row>
    <row r="139" spans="1:29" ht="15">
      <c r="A139" s="20" t="str">
        <f>Data!A139</f>
        <v>デモ機</v>
      </c>
      <c r="B139" s="20" t="str">
        <f>Data!C139</f>
        <v>Entire Organization</v>
      </c>
      <c r="C139" s="20" t="str">
        <f>IF(Data!E139=0,"",Data!E139)</f>
        <v/>
      </c>
      <c r="D139" s="26">
        <f t="shared" si="2"/>
        <v>42065.868970057869</v>
      </c>
      <c r="E139" s="27">
        <f>Data!F139</f>
        <v>42065.868970057869</v>
      </c>
      <c r="F139" s="20" t="str">
        <f>Data!G139</f>
        <v>DebugRecord</v>
      </c>
      <c r="G139" s="20">
        <f>Data!H139</f>
        <v>0</v>
      </c>
      <c r="H139" s="20">
        <f>Data!I139</f>
        <v>0</v>
      </c>
      <c r="I139" s="20">
        <f>Data!J139</f>
        <v>0</v>
      </c>
      <c r="J139" s="21" t="str">
        <f>IF(Data!K139=0,"",Data!K139)</f>
        <v/>
      </c>
      <c r="K139" s="22">
        <f>Data!L139</f>
        <v>0</v>
      </c>
      <c r="L139" s="21" t="str">
        <f>IF(Data!N139=0,"",Data!N139)</f>
        <v>InvalidFuelConsumptionDetected</v>
      </c>
      <c r="M139" s="20">
        <f>Data!O139</f>
        <v>0</v>
      </c>
      <c r="N139" s="20">
        <f>Data!P139</f>
        <v>0</v>
      </c>
      <c r="O139" s="20">
        <f>Data!Q139</f>
        <v>0</v>
      </c>
      <c r="P139" s="20">
        <f>Data!R139</f>
        <v>0</v>
      </c>
      <c r="Q139" s="20">
        <f>Data!S139</f>
        <v>0</v>
      </c>
      <c r="R139" s="20">
        <f>Data!T139</f>
        <v>0</v>
      </c>
      <c r="S139" s="20">
        <f>Data!U139</f>
        <v>0</v>
      </c>
      <c r="T139" s="20">
        <f>Data!V139</f>
        <v>0</v>
      </c>
      <c r="U139" s="20">
        <f>Data!W139</f>
        <v>0</v>
      </c>
      <c r="V139" s="20">
        <f>Data!X139</f>
        <v>0</v>
      </c>
      <c r="W139" s="20">
        <f>Data!Y139</f>
        <v>0</v>
      </c>
      <c r="X139" s="20">
        <f>Data!Z139</f>
        <v>0</v>
      </c>
      <c r="Y139" s="22" t="str">
        <f>Data!AL139</f>
        <v>070000000000000000000000000000</v>
      </c>
      <c r="Z139" s="20">
        <f>Data!AC139</f>
        <v>0</v>
      </c>
      <c r="AA139" s="20">
        <f>Data!AE139</f>
        <v>0</v>
      </c>
      <c r="AB139" s="20">
        <f>Data!AG139</f>
        <v>0</v>
      </c>
      <c r="AC139" s="20" t="str">
        <f>CONCATENATE(Data!AI139," ",Data!AJ139)</f>
        <v xml:space="preserve"> </v>
      </c>
    </row>
    <row r="140" spans="1:29" ht="15">
      <c r="A140" s="20" t="str">
        <f>Data!A140</f>
        <v>デモ機</v>
      </c>
      <c r="B140" s="20" t="str">
        <f>Data!C140</f>
        <v>Entire Organization</v>
      </c>
      <c r="C140" s="20" t="str">
        <f>IF(Data!E140=0,"",Data!E140)</f>
        <v/>
      </c>
      <c r="D140" s="26">
        <f t="shared" si="2"/>
        <v>42065.868970057869</v>
      </c>
      <c r="E140" s="27">
        <f>Data!F140</f>
        <v>42065.868970057869</v>
      </c>
      <c r="F140" s="20" t="str">
        <f>Data!G140</f>
        <v>DebugRecord</v>
      </c>
      <c r="G140" s="20">
        <f>Data!H140</f>
        <v>0</v>
      </c>
      <c r="H140" s="20">
        <f>Data!I140</f>
        <v>0</v>
      </c>
      <c r="I140" s="20">
        <f>Data!J140</f>
        <v>0</v>
      </c>
      <c r="J140" s="21" t="str">
        <f>IF(Data!K140=0,"",Data!K140)</f>
        <v/>
      </c>
      <c r="K140" s="22">
        <f>Data!L140</f>
        <v>0</v>
      </c>
      <c r="L140" s="21" t="str">
        <f>IF(Data!N140=0,"",Data!N140)</f>
        <v>FuelPulseInvalid</v>
      </c>
      <c r="M140" s="20">
        <f>Data!O140</f>
        <v>0</v>
      </c>
      <c r="N140" s="20">
        <f>Data!P140</f>
        <v>0</v>
      </c>
      <c r="O140" s="20">
        <f>Data!Q140</f>
        <v>0</v>
      </c>
      <c r="P140" s="20">
        <f>Data!R140</f>
        <v>0</v>
      </c>
      <c r="Q140" s="20">
        <f>Data!S140</f>
        <v>0</v>
      </c>
      <c r="R140" s="20">
        <f>Data!T140</f>
        <v>0</v>
      </c>
      <c r="S140" s="20">
        <f>Data!U140</f>
        <v>0</v>
      </c>
      <c r="T140" s="20">
        <f>Data!V140</f>
        <v>0</v>
      </c>
      <c r="U140" s="20">
        <f>Data!W140</f>
        <v>0</v>
      </c>
      <c r="V140" s="20">
        <f>Data!X140</f>
        <v>0</v>
      </c>
      <c r="W140" s="20">
        <f>Data!Y140</f>
        <v>0</v>
      </c>
      <c r="X140" s="20">
        <f>Data!Z140</f>
        <v>0</v>
      </c>
      <c r="Y140" s="22" t="str">
        <f>Data!AL140</f>
        <v>070000000000000000000000000000</v>
      </c>
      <c r="Z140" s="20">
        <f>Data!AC140</f>
        <v>0</v>
      </c>
      <c r="AA140" s="20">
        <f>Data!AE140</f>
        <v>0</v>
      </c>
      <c r="AB140" s="20">
        <f>Data!AG140</f>
        <v>0</v>
      </c>
      <c r="AC140" s="20" t="str">
        <f>CONCATENATE(Data!AI140," ",Data!AJ140)</f>
        <v xml:space="preserve"> </v>
      </c>
    </row>
    <row r="141" spans="1:29" ht="15">
      <c r="A141" s="20" t="str">
        <f>Data!A141</f>
        <v>デモ機</v>
      </c>
      <c r="B141" s="20" t="str">
        <f>Data!C141</f>
        <v>Entire Organization</v>
      </c>
      <c r="C141" s="20" t="str">
        <f>IF(Data!E141=0,"",Data!E141)</f>
        <v/>
      </c>
      <c r="D141" s="26">
        <f t="shared" si="2"/>
        <v>42065.868986076392</v>
      </c>
      <c r="E141" s="27">
        <f>Data!F141</f>
        <v>42065.868986076392</v>
      </c>
      <c r="F141" s="20" t="str">
        <f>Data!G141</f>
        <v>EngineStatusRecord</v>
      </c>
      <c r="G141" s="20">
        <f>Data!H141</f>
        <v>0</v>
      </c>
      <c r="H141" s="20">
        <f>Data!I141</f>
        <v>0</v>
      </c>
      <c r="I141" s="20">
        <f>Data!J141</f>
        <v>0</v>
      </c>
      <c r="J141" s="21" t="str">
        <f>IF(Data!K141=0,"",Data!K141)</f>
        <v/>
      </c>
      <c r="K141" s="22">
        <f>Data!L141</f>
        <v>0</v>
      </c>
      <c r="L141" s="21" t="str">
        <f>IF(Data!N141=0,"",Data!N141)</f>
        <v/>
      </c>
      <c r="M141" s="20">
        <f>Data!O141</f>
        <v>0</v>
      </c>
      <c r="N141" s="20">
        <f>Data!P141</f>
        <v>0</v>
      </c>
      <c r="O141" s="20">
        <f>Data!Q141</f>
        <v>0</v>
      </c>
      <c r="P141" s="20">
        <f>Data!R141</f>
        <v>0</v>
      </c>
      <c r="Q141" s="20">
        <f>Data!S141</f>
        <v>0</v>
      </c>
      <c r="R141" s="20">
        <f>Data!T141</f>
        <v>0</v>
      </c>
      <c r="S141" s="20">
        <f>Data!U141</f>
        <v>0</v>
      </c>
      <c r="T141" s="20">
        <f>Data!V141</f>
        <v>0</v>
      </c>
      <c r="U141" s="20">
        <f>Data!W141</f>
        <v>0</v>
      </c>
      <c r="V141" s="20">
        <f>Data!X141</f>
        <v>0</v>
      </c>
      <c r="W141" s="20">
        <f>Data!Y141</f>
        <v>0</v>
      </c>
      <c r="X141" s="20">
        <f>Data!Z141</f>
        <v>0</v>
      </c>
      <c r="Y141" s="22">
        <f>Data!AL141</f>
        <v>0</v>
      </c>
      <c r="Z141" s="20" t="str">
        <f>Data!AC141</f>
        <v>Telematics device voltage</v>
      </c>
      <c r="AA141" s="20" t="str">
        <f>Data!AE141</f>
        <v/>
      </c>
      <c r="AB141" s="20">
        <f>Data!AG141</f>
        <v>0</v>
      </c>
      <c r="AC141" s="20" t="str">
        <f>CONCATENATE(Data!AI141," ",Data!AJ141)</f>
        <v>13.7882233 V</v>
      </c>
    </row>
    <row r="142" spans="1:29" ht="15">
      <c r="A142" s="20" t="str">
        <f>Data!A142</f>
        <v>デモ機</v>
      </c>
      <c r="B142" s="20" t="str">
        <f>Data!C142</f>
        <v>Entire Organization</v>
      </c>
      <c r="C142" s="20" t="str">
        <f>IF(Data!E142=0,"",Data!E142)</f>
        <v/>
      </c>
      <c r="D142" s="26">
        <f t="shared" si="2"/>
        <v>42065.869009571761</v>
      </c>
      <c r="E142" s="27">
        <f>Data!F142</f>
        <v>42065.869009571761</v>
      </c>
      <c r="F142" s="20" t="str">
        <f>Data!G142</f>
        <v>DebugRecord</v>
      </c>
      <c r="G142" s="20">
        <f>Data!H142</f>
        <v>0</v>
      </c>
      <c r="H142" s="20">
        <f>Data!I142</f>
        <v>0</v>
      </c>
      <c r="I142" s="20">
        <f>Data!J142</f>
        <v>0</v>
      </c>
      <c r="J142" s="21" t="str">
        <f>IF(Data!K142=0,"",Data!K142)</f>
        <v/>
      </c>
      <c r="K142" s="22">
        <f>Data!L142</f>
        <v>0</v>
      </c>
      <c r="L142" s="21" t="str">
        <f>IF(Data!N142=0,"",Data!N142)</f>
        <v>CanReceiveErrorsDetected</v>
      </c>
      <c r="M142" s="20">
        <f>Data!O142</f>
        <v>0</v>
      </c>
      <c r="N142" s="20">
        <f>Data!P142</f>
        <v>0</v>
      </c>
      <c r="O142" s="20">
        <f>Data!Q142</f>
        <v>0</v>
      </c>
      <c r="P142" s="20">
        <f>Data!R142</f>
        <v>0</v>
      </c>
      <c r="Q142" s="20">
        <f>Data!S142</f>
        <v>0</v>
      </c>
      <c r="R142" s="20">
        <f>Data!T142</f>
        <v>0</v>
      </c>
      <c r="S142" s="20">
        <f>Data!U142</f>
        <v>0</v>
      </c>
      <c r="T142" s="20">
        <f>Data!V142</f>
        <v>0</v>
      </c>
      <c r="U142" s="20">
        <f>Data!W142</f>
        <v>0</v>
      </c>
      <c r="V142" s="20">
        <f>Data!X142</f>
        <v>0</v>
      </c>
      <c r="W142" s="20">
        <f>Data!Y142</f>
        <v>0</v>
      </c>
      <c r="X142" s="20">
        <f>Data!Z142</f>
        <v>0</v>
      </c>
      <c r="Y142" s="22" t="str">
        <f>Data!AL142</f>
        <v>08080900800D000000000000000000</v>
      </c>
      <c r="Z142" s="20">
        <f>Data!AC142</f>
        <v>0</v>
      </c>
      <c r="AA142" s="20">
        <f>Data!AE142</f>
        <v>0</v>
      </c>
      <c r="AB142" s="20">
        <f>Data!AG142</f>
        <v>0</v>
      </c>
      <c r="AC142" s="20" t="str">
        <f>CONCATENATE(Data!AI142," ",Data!AJ142)</f>
        <v xml:space="preserve"> </v>
      </c>
    </row>
    <row r="143" spans="1:29" ht="15">
      <c r="A143" s="20" t="str">
        <f>Data!A143</f>
        <v>デモ機</v>
      </c>
      <c r="B143" s="20" t="str">
        <f>Data!C143</f>
        <v>Entire Organization</v>
      </c>
      <c r="C143" s="20" t="str">
        <f>IF(Data!E143=0,"",Data!E143)</f>
        <v/>
      </c>
      <c r="D143" s="26">
        <f t="shared" si="2"/>
        <v>42065.869039502315</v>
      </c>
      <c r="E143" s="27">
        <f>Data!F143</f>
        <v>42065.869039502315</v>
      </c>
      <c r="F143" s="20" t="str">
        <f>Data!G143</f>
        <v>EngineStatusRecord</v>
      </c>
      <c r="G143" s="20">
        <f>Data!H143</f>
        <v>0</v>
      </c>
      <c r="H143" s="20">
        <f>Data!I143</f>
        <v>0</v>
      </c>
      <c r="I143" s="20">
        <f>Data!J143</f>
        <v>0</v>
      </c>
      <c r="J143" s="21" t="str">
        <f>IF(Data!K143=0,"",Data!K143)</f>
        <v/>
      </c>
      <c r="K143" s="22">
        <f>Data!L143</f>
        <v>0</v>
      </c>
      <c r="L143" s="21" t="str">
        <f>IF(Data!N143=0,"",Data!N143)</f>
        <v/>
      </c>
      <c r="M143" s="20">
        <f>Data!O143</f>
        <v>0</v>
      </c>
      <c r="N143" s="20">
        <f>Data!P143</f>
        <v>0</v>
      </c>
      <c r="O143" s="20">
        <f>Data!Q143</f>
        <v>0</v>
      </c>
      <c r="P143" s="20">
        <f>Data!R143</f>
        <v>0</v>
      </c>
      <c r="Q143" s="20">
        <f>Data!S143</f>
        <v>0</v>
      </c>
      <c r="R143" s="20">
        <f>Data!T143</f>
        <v>0</v>
      </c>
      <c r="S143" s="20">
        <f>Data!U143</f>
        <v>0</v>
      </c>
      <c r="T143" s="20">
        <f>Data!V143</f>
        <v>0</v>
      </c>
      <c r="U143" s="20">
        <f>Data!W143</f>
        <v>0</v>
      </c>
      <c r="V143" s="20">
        <f>Data!X143</f>
        <v>0</v>
      </c>
      <c r="W143" s="20">
        <f>Data!Y143</f>
        <v>0</v>
      </c>
      <c r="X143" s="20">
        <f>Data!Z143</f>
        <v>0</v>
      </c>
      <c r="Y143" s="22">
        <f>Data!AL143</f>
        <v>0</v>
      </c>
      <c r="Z143" s="20" t="str">
        <f>Data!AC143</f>
        <v>Engine RPM</v>
      </c>
      <c r="AA143" s="20" t="str">
        <f>Data!AE143</f>
        <v/>
      </c>
      <c r="AB143" s="20">
        <f>Data!AG143</f>
        <v>0</v>
      </c>
      <c r="AC143" s="20" t="str">
        <f>CONCATENATE(Data!AI143," ",Data!AJ143)</f>
        <v>1767.5 RPM</v>
      </c>
    </row>
    <row r="144" spans="1:29" ht="15">
      <c r="A144" s="20" t="str">
        <f>Data!A144</f>
        <v>デモ機</v>
      </c>
      <c r="B144" s="20" t="str">
        <f>Data!C144</f>
        <v>Entire Organization</v>
      </c>
      <c r="C144" s="20" t="str">
        <f>IF(Data!E144=0,"",Data!E144)</f>
        <v/>
      </c>
      <c r="D144" s="26">
        <f t="shared" si="2"/>
        <v>42065.869131944448</v>
      </c>
      <c r="E144" s="27">
        <f>Data!F144</f>
        <v>42065.869131944448</v>
      </c>
      <c r="F144" s="20" t="str">
        <f>Data!G144</f>
        <v>GpsRecord</v>
      </c>
      <c r="G144" s="20">
        <f>Data!H144</f>
        <v>44</v>
      </c>
      <c r="H144" s="20">
        <f>Data!I144</f>
        <v>139.40378000000001</v>
      </c>
      <c r="I144" s="20">
        <f>Data!J144</f>
        <v>35.571919999999999</v>
      </c>
      <c r="J144" s="21" t="str">
        <f>IF(Data!K144=0,"",Data!K144)</f>
        <v>日本, 〒252-0202 神奈川県相模原市中央区淵野辺本町２丁目 県道57号線</v>
      </c>
      <c r="K144" s="22">
        <f>Data!L144</f>
        <v>0</v>
      </c>
      <c r="L144" s="21" t="str">
        <f>IF(Data!N144=0,"",Data!N144)</f>
        <v>CurveTimeOut</v>
      </c>
      <c r="M144" s="20" t="b">
        <f>Data!O144</f>
        <v>1</v>
      </c>
      <c r="N144" s="20" t="b">
        <f>Data!P144</f>
        <v>0</v>
      </c>
      <c r="O144" s="20" t="b">
        <f>Data!Q144</f>
        <v>0</v>
      </c>
      <c r="P144" s="20" t="b">
        <f>Data!R144</f>
        <v>0</v>
      </c>
      <c r="Q144" s="20" t="b">
        <f>Data!S144</f>
        <v>0</v>
      </c>
      <c r="R144" s="20" t="b">
        <f>Data!T144</f>
        <v>0</v>
      </c>
      <c r="S144" s="20" t="b">
        <f>Data!U144</f>
        <v>0</v>
      </c>
      <c r="T144" s="20" t="b">
        <f>Data!V144</f>
        <v>0</v>
      </c>
      <c r="U144" s="20" t="b">
        <f>Data!W144</f>
        <v>0</v>
      </c>
      <c r="V144" s="20" t="b">
        <f>Data!X144</f>
        <v>1</v>
      </c>
      <c r="W144" s="20" t="b">
        <f>Data!Y144</f>
        <v>1</v>
      </c>
      <c r="X144" s="20">
        <f>Data!Z144</f>
        <v>0</v>
      </c>
      <c r="Y144" s="22">
        <f>Data!AL144</f>
        <v>0</v>
      </c>
      <c r="Z144" s="20">
        <f>Data!AC144</f>
        <v>0</v>
      </c>
      <c r="AA144" s="20">
        <f>Data!AE144</f>
        <v>0</v>
      </c>
      <c r="AB144" s="20">
        <f>Data!AG144</f>
        <v>0</v>
      </c>
      <c r="AC144" s="20" t="str">
        <f>CONCATENATE(Data!AI144," ",Data!AJ144)</f>
        <v xml:space="preserve"> </v>
      </c>
    </row>
    <row r="145" spans="1:29" ht="15">
      <c r="A145" s="20" t="str">
        <f>Data!A145</f>
        <v>デモ機</v>
      </c>
      <c r="B145" s="20" t="str">
        <f>Data!C145</f>
        <v>Entire Organization</v>
      </c>
      <c r="C145" s="20" t="str">
        <f>IF(Data!E145=0,"",Data!E145)</f>
        <v/>
      </c>
      <c r="D145" s="26">
        <f t="shared" si="2"/>
        <v>42065.869259722225</v>
      </c>
      <c r="E145" s="27">
        <f>Data!F145</f>
        <v>42065.869259722225</v>
      </c>
      <c r="F145" s="20" t="str">
        <f>Data!G145</f>
        <v>EngineStatusRecord</v>
      </c>
      <c r="G145" s="20">
        <f>Data!H145</f>
        <v>0</v>
      </c>
      <c r="H145" s="20">
        <f>Data!I145</f>
        <v>0</v>
      </c>
      <c r="I145" s="20">
        <f>Data!J145</f>
        <v>0</v>
      </c>
      <c r="J145" s="21" t="str">
        <f>IF(Data!K145=0,"",Data!K145)</f>
        <v/>
      </c>
      <c r="K145" s="22">
        <f>Data!L145</f>
        <v>0</v>
      </c>
      <c r="L145" s="21" t="str">
        <f>IF(Data!N145=0,"",Data!N145)</f>
        <v/>
      </c>
      <c r="M145" s="20">
        <f>Data!O145</f>
        <v>0</v>
      </c>
      <c r="N145" s="20">
        <f>Data!P145</f>
        <v>0</v>
      </c>
      <c r="O145" s="20">
        <f>Data!Q145</f>
        <v>0</v>
      </c>
      <c r="P145" s="20">
        <f>Data!R145</f>
        <v>0</v>
      </c>
      <c r="Q145" s="20">
        <f>Data!S145</f>
        <v>0</v>
      </c>
      <c r="R145" s="20">
        <f>Data!T145</f>
        <v>0</v>
      </c>
      <c r="S145" s="20">
        <f>Data!U145</f>
        <v>0</v>
      </c>
      <c r="T145" s="20">
        <f>Data!V145</f>
        <v>0</v>
      </c>
      <c r="U145" s="20">
        <f>Data!W145</f>
        <v>0</v>
      </c>
      <c r="V145" s="20">
        <f>Data!X145</f>
        <v>0</v>
      </c>
      <c r="W145" s="20">
        <f>Data!Y145</f>
        <v>0</v>
      </c>
      <c r="X145" s="20">
        <f>Data!Z145</f>
        <v>0</v>
      </c>
      <c r="Y145" s="22">
        <f>Data!AL145</f>
        <v>0</v>
      </c>
      <c r="Z145" s="20" t="str">
        <f>Data!AC145</f>
        <v>Engine RPM</v>
      </c>
      <c r="AA145" s="20" t="str">
        <f>Data!AE145</f>
        <v/>
      </c>
      <c r="AB145" s="20">
        <f>Data!AG145</f>
        <v>0</v>
      </c>
      <c r="AC145" s="20" t="str">
        <f>CONCATENATE(Data!AI145," ",Data!AJ145)</f>
        <v>1010.25 RPM</v>
      </c>
    </row>
    <row r="146" spans="1:29" ht="15">
      <c r="A146" s="20" t="str">
        <f>Data!A146</f>
        <v>デモ機</v>
      </c>
      <c r="B146" s="20" t="str">
        <f>Data!C146</f>
        <v>Entire Organization</v>
      </c>
      <c r="C146" s="20" t="str">
        <f>IF(Data!E146=0,"",Data!E146)</f>
        <v/>
      </c>
      <c r="D146" s="26">
        <f t="shared" si="2"/>
        <v>42065.869328703702</v>
      </c>
      <c r="E146" s="27">
        <f>Data!F146</f>
        <v>42065.869328703702</v>
      </c>
      <c r="F146" s="20" t="str">
        <f>Data!G146</f>
        <v>GpsRecord</v>
      </c>
      <c r="G146" s="20">
        <f>Data!H146</f>
        <v>50</v>
      </c>
      <c r="H146" s="20">
        <f>Data!I146</f>
        <v>139.40544</v>
      </c>
      <c r="I146" s="20">
        <f>Data!J146</f>
        <v>35.573329999999999</v>
      </c>
      <c r="J146" s="21" t="str">
        <f>IF(Data!K146=0,"",Data!K146)</f>
        <v>日本, 〒252-0202 神奈川県相模原市中央区淵野辺本町２丁目２０ 県道57号線</v>
      </c>
      <c r="K146" s="22">
        <f>Data!L146</f>
        <v>0</v>
      </c>
      <c r="L146" s="21" t="str">
        <f>IF(Data!N146=0,"",Data!N146)</f>
        <v>CurveSpeed</v>
      </c>
      <c r="M146" s="20" t="b">
        <f>Data!O146</f>
        <v>1</v>
      </c>
      <c r="N146" s="20" t="b">
        <f>Data!P146</f>
        <v>0</v>
      </c>
      <c r="O146" s="20" t="b">
        <f>Data!Q146</f>
        <v>0</v>
      </c>
      <c r="P146" s="20" t="b">
        <f>Data!R146</f>
        <v>0</v>
      </c>
      <c r="Q146" s="20" t="b">
        <f>Data!S146</f>
        <v>0</v>
      </c>
      <c r="R146" s="20" t="b">
        <f>Data!T146</f>
        <v>0</v>
      </c>
      <c r="S146" s="20" t="b">
        <f>Data!U146</f>
        <v>0</v>
      </c>
      <c r="T146" s="20" t="b">
        <f>Data!V146</f>
        <v>0</v>
      </c>
      <c r="U146" s="20" t="b">
        <f>Data!W146</f>
        <v>0</v>
      </c>
      <c r="V146" s="20" t="b">
        <f>Data!X146</f>
        <v>1</v>
      </c>
      <c r="W146" s="20" t="b">
        <f>Data!Y146</f>
        <v>1</v>
      </c>
      <c r="X146" s="20">
        <f>Data!Z146</f>
        <v>0</v>
      </c>
      <c r="Y146" s="22">
        <f>Data!AL146</f>
        <v>0</v>
      </c>
      <c r="Z146" s="20">
        <f>Data!AC146</f>
        <v>0</v>
      </c>
      <c r="AA146" s="20">
        <f>Data!AE146</f>
        <v>0</v>
      </c>
      <c r="AB146" s="20">
        <f>Data!AG146</f>
        <v>0</v>
      </c>
      <c r="AC146" s="20" t="str">
        <f>CONCATENATE(Data!AI146," ",Data!AJ146)</f>
        <v xml:space="preserve"> </v>
      </c>
    </row>
    <row r="147" spans="1:29" ht="15">
      <c r="A147" s="20" t="str">
        <f>Data!A147</f>
        <v>デモ機</v>
      </c>
      <c r="B147" s="20" t="str">
        <f>Data!C147</f>
        <v>Entire Organization</v>
      </c>
      <c r="C147" s="20" t="str">
        <f>IF(Data!E147=0,"",Data!E147)</f>
        <v/>
      </c>
      <c r="D147" s="26">
        <f t="shared" si="2"/>
        <v>42065.869375000002</v>
      </c>
      <c r="E147" s="27">
        <f>Data!F147</f>
        <v>42065.869375000002</v>
      </c>
      <c r="F147" s="20" t="str">
        <f>Data!G147</f>
        <v>GpsRecord</v>
      </c>
      <c r="G147" s="20">
        <f>Data!H147</f>
        <v>41</v>
      </c>
      <c r="H147" s="20">
        <f>Data!I147</f>
        <v>139.40582000000001</v>
      </c>
      <c r="I147" s="20">
        <f>Data!J147</f>
        <v>35.573630000000001</v>
      </c>
      <c r="J147" s="21" t="str">
        <f>IF(Data!K147=0,"",Data!K147)</f>
        <v>日本, 〒252-0202 神奈川県相模原市中央区淵野辺本町２丁目 県道57号線</v>
      </c>
      <c r="K147" s="22">
        <f>Data!L147</f>
        <v>0</v>
      </c>
      <c r="L147" s="21" t="str">
        <f>IF(Data!N147=0,"",Data!N147)</f>
        <v>CurveSpeed</v>
      </c>
      <c r="M147" s="20" t="b">
        <f>Data!O147</f>
        <v>1</v>
      </c>
      <c r="N147" s="20" t="b">
        <f>Data!P147</f>
        <v>0</v>
      </c>
      <c r="O147" s="20" t="b">
        <f>Data!Q147</f>
        <v>0</v>
      </c>
      <c r="P147" s="20" t="b">
        <f>Data!R147</f>
        <v>0</v>
      </c>
      <c r="Q147" s="20" t="b">
        <f>Data!S147</f>
        <v>0</v>
      </c>
      <c r="R147" s="20" t="b">
        <f>Data!T147</f>
        <v>0</v>
      </c>
      <c r="S147" s="20" t="b">
        <f>Data!U147</f>
        <v>0</v>
      </c>
      <c r="T147" s="20" t="b">
        <f>Data!V147</f>
        <v>0</v>
      </c>
      <c r="U147" s="20" t="b">
        <f>Data!W147</f>
        <v>0</v>
      </c>
      <c r="V147" s="20" t="b">
        <f>Data!X147</f>
        <v>1</v>
      </c>
      <c r="W147" s="20" t="b">
        <f>Data!Y147</f>
        <v>1</v>
      </c>
      <c r="X147" s="20">
        <f>Data!Z147</f>
        <v>0</v>
      </c>
      <c r="Y147" s="22">
        <f>Data!AL147</f>
        <v>0</v>
      </c>
      <c r="Z147" s="20">
        <f>Data!AC147</f>
        <v>0</v>
      </c>
      <c r="AA147" s="20">
        <f>Data!AE147</f>
        <v>0</v>
      </c>
      <c r="AB147" s="20">
        <f>Data!AG147</f>
        <v>0</v>
      </c>
      <c r="AC147" s="20" t="str">
        <f>CONCATENATE(Data!AI147," ",Data!AJ147)</f>
        <v xml:space="preserve"> </v>
      </c>
    </row>
    <row r="148" spans="1:29" ht="15">
      <c r="A148" s="20" t="str">
        <f>Data!A148</f>
        <v>デモ機</v>
      </c>
      <c r="B148" s="20" t="str">
        <f>Data!C148</f>
        <v>Entire Organization</v>
      </c>
      <c r="C148" s="20" t="str">
        <f>IF(Data!E148=0,"",Data!E148)</f>
        <v/>
      </c>
      <c r="D148" s="26">
        <f t="shared" si="2"/>
        <v>42065.869560185187</v>
      </c>
      <c r="E148" s="27">
        <f>Data!F148</f>
        <v>42065.869560185187</v>
      </c>
      <c r="F148" s="20" t="str">
        <f>Data!G148</f>
        <v>GpsRecord</v>
      </c>
      <c r="G148" s="20">
        <f>Data!H148</f>
        <v>42</v>
      </c>
      <c r="H148" s="20">
        <f>Data!I148</f>
        <v>139.40718000000001</v>
      </c>
      <c r="I148" s="20">
        <f>Data!J148</f>
        <v>35.574910000000003</v>
      </c>
      <c r="J148" s="21" t="str">
        <f>IF(Data!K148=0,"",Data!K148)</f>
        <v>日本, 〒252-0202 神奈川県相模原市中央区淵野辺本町２丁目 県道57号線</v>
      </c>
      <c r="K148" s="22">
        <f>Data!L148</f>
        <v>0</v>
      </c>
      <c r="L148" s="21" t="str">
        <f>IF(Data!N148=0,"",Data!N148)</f>
        <v>CurveSpeed</v>
      </c>
      <c r="M148" s="20" t="b">
        <f>Data!O148</f>
        <v>1</v>
      </c>
      <c r="N148" s="20" t="b">
        <f>Data!P148</f>
        <v>0</v>
      </c>
      <c r="O148" s="20" t="b">
        <f>Data!Q148</f>
        <v>0</v>
      </c>
      <c r="P148" s="20" t="b">
        <f>Data!R148</f>
        <v>0</v>
      </c>
      <c r="Q148" s="20" t="b">
        <f>Data!S148</f>
        <v>0</v>
      </c>
      <c r="R148" s="20" t="b">
        <f>Data!T148</f>
        <v>0</v>
      </c>
      <c r="S148" s="20" t="b">
        <f>Data!U148</f>
        <v>0</v>
      </c>
      <c r="T148" s="20" t="b">
        <f>Data!V148</f>
        <v>0</v>
      </c>
      <c r="U148" s="20" t="b">
        <f>Data!W148</f>
        <v>0</v>
      </c>
      <c r="V148" s="20" t="b">
        <f>Data!X148</f>
        <v>1</v>
      </c>
      <c r="W148" s="20" t="b">
        <f>Data!Y148</f>
        <v>1</v>
      </c>
      <c r="X148" s="20">
        <f>Data!Z148</f>
        <v>0</v>
      </c>
      <c r="Y148" s="22">
        <f>Data!AL148</f>
        <v>0</v>
      </c>
      <c r="Z148" s="20">
        <f>Data!AC148</f>
        <v>0</v>
      </c>
      <c r="AA148" s="20">
        <f>Data!AE148</f>
        <v>0</v>
      </c>
      <c r="AB148" s="20">
        <f>Data!AG148</f>
        <v>0</v>
      </c>
      <c r="AC148" s="20" t="str">
        <f>CONCATENATE(Data!AI148," ",Data!AJ148)</f>
        <v xml:space="preserve"> </v>
      </c>
    </row>
    <row r="149" spans="1:29" ht="15">
      <c r="A149" s="20" t="str">
        <f>Data!A149</f>
        <v>デモ機</v>
      </c>
      <c r="B149" s="20" t="str">
        <f>Data!C149</f>
        <v>Entire Organization</v>
      </c>
      <c r="C149" s="20" t="str">
        <f>IF(Data!E149=0,"",Data!E149)</f>
        <v/>
      </c>
      <c r="D149" s="26">
        <f t="shared" si="2"/>
        <v>42065.86968171296</v>
      </c>
      <c r="E149" s="27">
        <f>Data!F149</f>
        <v>42065.86968171296</v>
      </c>
      <c r="F149" s="20" t="str">
        <f>Data!G149</f>
        <v>EngineStatusRecord</v>
      </c>
      <c r="G149" s="20">
        <f>Data!H149</f>
        <v>0</v>
      </c>
      <c r="H149" s="20">
        <f>Data!I149</f>
        <v>0</v>
      </c>
      <c r="I149" s="20">
        <f>Data!J149</f>
        <v>0</v>
      </c>
      <c r="J149" s="21" t="str">
        <f>IF(Data!K149=0,"",Data!K149)</f>
        <v/>
      </c>
      <c r="K149" s="22">
        <f>Data!L149</f>
        <v>0</v>
      </c>
      <c r="L149" s="21" t="str">
        <f>IF(Data!N149=0,"",Data!N149)</f>
        <v/>
      </c>
      <c r="M149" s="20">
        <f>Data!O149</f>
        <v>0</v>
      </c>
      <c r="N149" s="20">
        <f>Data!P149</f>
        <v>0</v>
      </c>
      <c r="O149" s="20">
        <f>Data!Q149</f>
        <v>0</v>
      </c>
      <c r="P149" s="20">
        <f>Data!R149</f>
        <v>0</v>
      </c>
      <c r="Q149" s="20">
        <f>Data!S149</f>
        <v>0</v>
      </c>
      <c r="R149" s="20">
        <f>Data!T149</f>
        <v>0</v>
      </c>
      <c r="S149" s="20">
        <f>Data!U149</f>
        <v>0</v>
      </c>
      <c r="T149" s="20">
        <f>Data!V149</f>
        <v>0</v>
      </c>
      <c r="U149" s="20">
        <f>Data!W149</f>
        <v>0</v>
      </c>
      <c r="V149" s="20">
        <f>Data!X149</f>
        <v>0</v>
      </c>
      <c r="W149" s="20">
        <f>Data!Y149</f>
        <v>0</v>
      </c>
      <c r="X149" s="20">
        <f>Data!Z149</f>
        <v>0</v>
      </c>
      <c r="Y149" s="22">
        <f>Data!AL149</f>
        <v>0</v>
      </c>
      <c r="Z149" s="20" t="str">
        <f>Data!AC149</f>
        <v>Telematics device voltage</v>
      </c>
      <c r="AA149" s="20" t="str">
        <f>Data!AE149</f>
        <v/>
      </c>
      <c r="AB149" s="20">
        <f>Data!AG149</f>
        <v>0</v>
      </c>
      <c r="AC149" s="20" t="str">
        <f>CONCATENATE(Data!AI149," ",Data!AJ149)</f>
        <v>14.146 V</v>
      </c>
    </row>
    <row r="150" spans="1:29" ht="15">
      <c r="A150" s="20" t="str">
        <f>Data!A150</f>
        <v>デモ機</v>
      </c>
      <c r="B150" s="20" t="str">
        <f>Data!C150</f>
        <v>Entire Organization</v>
      </c>
      <c r="C150" s="20" t="str">
        <f>IF(Data!E150=0,"",Data!E150)</f>
        <v/>
      </c>
      <c r="D150" s="26">
        <f t="shared" si="2"/>
        <v>42065.869756944441</v>
      </c>
      <c r="E150" s="27">
        <f>Data!F150</f>
        <v>42065.869756944441</v>
      </c>
      <c r="F150" s="20" t="str">
        <f>Data!G150</f>
        <v>GpsRecord</v>
      </c>
      <c r="G150" s="20">
        <f>Data!H150</f>
        <v>29</v>
      </c>
      <c r="H150" s="20">
        <f>Data!I150</f>
        <v>139.40839</v>
      </c>
      <c r="I150" s="20">
        <f>Data!J150</f>
        <v>35.575989999999997</v>
      </c>
      <c r="J150" s="21" t="str">
        <f>IF(Data!K150=0,"",Data!K150)</f>
        <v>日本, 〒194-0034 東京都町田市根岸町 県道57号線</v>
      </c>
      <c r="K150" s="22">
        <f>Data!L150</f>
        <v>0</v>
      </c>
      <c r="L150" s="21" t="str">
        <f>IF(Data!N150=0,"",Data!N150)</f>
        <v>CurveSpeed</v>
      </c>
      <c r="M150" s="20" t="b">
        <f>Data!O150</f>
        <v>1</v>
      </c>
      <c r="N150" s="20" t="b">
        <f>Data!P150</f>
        <v>0</v>
      </c>
      <c r="O150" s="20" t="b">
        <f>Data!Q150</f>
        <v>0</v>
      </c>
      <c r="P150" s="20" t="b">
        <f>Data!R150</f>
        <v>0</v>
      </c>
      <c r="Q150" s="20" t="b">
        <f>Data!S150</f>
        <v>0</v>
      </c>
      <c r="R150" s="20" t="b">
        <f>Data!T150</f>
        <v>0</v>
      </c>
      <c r="S150" s="20" t="b">
        <f>Data!U150</f>
        <v>0</v>
      </c>
      <c r="T150" s="20" t="b">
        <f>Data!V150</f>
        <v>0</v>
      </c>
      <c r="U150" s="20" t="b">
        <f>Data!W150</f>
        <v>0</v>
      </c>
      <c r="V150" s="20" t="b">
        <f>Data!X150</f>
        <v>1</v>
      </c>
      <c r="W150" s="20" t="b">
        <f>Data!Y150</f>
        <v>1</v>
      </c>
      <c r="X150" s="20">
        <f>Data!Z150</f>
        <v>0</v>
      </c>
      <c r="Y150" s="22">
        <f>Data!AL150</f>
        <v>0</v>
      </c>
      <c r="Z150" s="20">
        <f>Data!AC150</f>
        <v>0</v>
      </c>
      <c r="AA150" s="20">
        <f>Data!AE150</f>
        <v>0</v>
      </c>
      <c r="AB150" s="20">
        <f>Data!AG150</f>
        <v>0</v>
      </c>
      <c r="AC150" s="20" t="str">
        <f>CONCATENATE(Data!AI150," ",Data!AJ150)</f>
        <v xml:space="preserve"> </v>
      </c>
    </row>
    <row r="151" spans="1:29" ht="15">
      <c r="A151" s="20" t="str">
        <f>Data!A151</f>
        <v>デモ機</v>
      </c>
      <c r="B151" s="20" t="str">
        <f>Data!C151</f>
        <v>Entire Organization</v>
      </c>
      <c r="C151" s="20" t="str">
        <f>IF(Data!E151=0,"",Data!E151)</f>
        <v/>
      </c>
      <c r="D151" s="26">
        <f t="shared" si="2"/>
        <v>42065.869797453706</v>
      </c>
      <c r="E151" s="27">
        <f>Data!F151</f>
        <v>42065.869797453706</v>
      </c>
      <c r="F151" s="20" t="str">
        <f>Data!G151</f>
        <v>EngineStatusRecord</v>
      </c>
      <c r="G151" s="20">
        <f>Data!H151</f>
        <v>0</v>
      </c>
      <c r="H151" s="20">
        <f>Data!I151</f>
        <v>0</v>
      </c>
      <c r="I151" s="20">
        <f>Data!J151</f>
        <v>0</v>
      </c>
      <c r="J151" s="21" t="str">
        <f>IF(Data!K151=0,"",Data!K151)</f>
        <v/>
      </c>
      <c r="K151" s="22">
        <f>Data!L151</f>
        <v>0</v>
      </c>
      <c r="L151" s="21" t="str">
        <f>IF(Data!N151=0,"",Data!N151)</f>
        <v/>
      </c>
      <c r="M151" s="20">
        <f>Data!O151</f>
        <v>0</v>
      </c>
      <c r="N151" s="20">
        <f>Data!P151</f>
        <v>0</v>
      </c>
      <c r="O151" s="20">
        <f>Data!Q151</f>
        <v>0</v>
      </c>
      <c r="P151" s="20">
        <f>Data!R151</f>
        <v>0</v>
      </c>
      <c r="Q151" s="20">
        <f>Data!S151</f>
        <v>0</v>
      </c>
      <c r="R151" s="20">
        <f>Data!T151</f>
        <v>0</v>
      </c>
      <c r="S151" s="20">
        <f>Data!U151</f>
        <v>0</v>
      </c>
      <c r="T151" s="20">
        <f>Data!V151</f>
        <v>0</v>
      </c>
      <c r="U151" s="20">
        <f>Data!W151</f>
        <v>0</v>
      </c>
      <c r="V151" s="20">
        <f>Data!X151</f>
        <v>0</v>
      </c>
      <c r="W151" s="20">
        <f>Data!Y151</f>
        <v>0</v>
      </c>
      <c r="X151" s="20">
        <f>Data!Z151</f>
        <v>0</v>
      </c>
      <c r="Y151" s="22">
        <f>Data!AL151</f>
        <v>0</v>
      </c>
      <c r="Z151" s="20" t="str">
        <f>Data!AC151</f>
        <v>Telematics device voltage</v>
      </c>
      <c r="AA151" s="20" t="str">
        <f>Data!AE151</f>
        <v/>
      </c>
      <c r="AB151" s="20">
        <f>Data!AG151</f>
        <v>0</v>
      </c>
      <c r="AC151" s="20" t="str">
        <f>CONCATENATE(Data!AI151," ",Data!AJ151)</f>
        <v>13.7882233 V</v>
      </c>
    </row>
    <row r="152" spans="1:29" ht="15">
      <c r="A152" s="20" t="str">
        <f>Data!A152</f>
        <v>デモ機</v>
      </c>
      <c r="B152" s="20" t="str">
        <f>Data!C152</f>
        <v>Entire Organization</v>
      </c>
      <c r="C152" s="20" t="str">
        <f>IF(Data!E152=0,"",Data!E152)</f>
        <v/>
      </c>
      <c r="D152" s="26">
        <f t="shared" si="2"/>
        <v>42065.869837962964</v>
      </c>
      <c r="E152" s="27">
        <f>Data!F152</f>
        <v>42065.869837962964</v>
      </c>
      <c r="F152" s="20" t="str">
        <f>Data!G152</f>
        <v>GpsRecord</v>
      </c>
      <c r="G152" s="20">
        <f>Data!H152</f>
        <v>0</v>
      </c>
      <c r="H152" s="20">
        <f>Data!I152</f>
        <v>139.40857</v>
      </c>
      <c r="I152" s="20">
        <f>Data!J152</f>
        <v>35.576140000000002</v>
      </c>
      <c r="J152" s="21" t="str">
        <f>IF(Data!K152=0,"",Data!K152)</f>
        <v>日本, 〒194-0034 東京都町田市根岸町 県道57号線</v>
      </c>
      <c r="K152" s="22">
        <f>Data!L152</f>
        <v>0</v>
      </c>
      <c r="L152" s="21" t="str">
        <f>IF(Data!N152=0,"",Data!N152)</f>
        <v>CurveZeroSpeed</v>
      </c>
      <c r="M152" s="20" t="b">
        <f>Data!O152</f>
        <v>1</v>
      </c>
      <c r="N152" s="20" t="b">
        <f>Data!P152</f>
        <v>0</v>
      </c>
      <c r="O152" s="20" t="b">
        <f>Data!Q152</f>
        <v>0</v>
      </c>
      <c r="P152" s="20" t="b">
        <f>Data!R152</f>
        <v>0</v>
      </c>
      <c r="Q152" s="20" t="b">
        <f>Data!S152</f>
        <v>0</v>
      </c>
      <c r="R152" s="20" t="b">
        <f>Data!T152</f>
        <v>0</v>
      </c>
      <c r="S152" s="20" t="b">
        <f>Data!U152</f>
        <v>0</v>
      </c>
      <c r="T152" s="20" t="b">
        <f>Data!V152</f>
        <v>0</v>
      </c>
      <c r="U152" s="20" t="b">
        <f>Data!W152</f>
        <v>0</v>
      </c>
      <c r="V152" s="20" t="b">
        <f>Data!X152</f>
        <v>1</v>
      </c>
      <c r="W152" s="20" t="b">
        <f>Data!Y152</f>
        <v>1</v>
      </c>
      <c r="X152" s="20">
        <f>Data!Z152</f>
        <v>0</v>
      </c>
      <c r="Y152" s="22">
        <f>Data!AL152</f>
        <v>0</v>
      </c>
      <c r="Z152" s="20">
        <f>Data!AC152</f>
        <v>0</v>
      </c>
      <c r="AA152" s="20">
        <f>Data!AE152</f>
        <v>0</v>
      </c>
      <c r="AB152" s="20">
        <f>Data!AG152</f>
        <v>0</v>
      </c>
      <c r="AC152" s="20" t="str">
        <f>CONCATENATE(Data!AI152," ",Data!AJ152)</f>
        <v xml:space="preserve"> </v>
      </c>
    </row>
    <row r="153" spans="1:29" ht="15">
      <c r="A153" s="20" t="str">
        <f>Data!A153</f>
        <v>デモ機</v>
      </c>
      <c r="B153" s="20" t="str">
        <f>Data!C153</f>
        <v>Entire Organization</v>
      </c>
      <c r="C153" s="20" t="str">
        <f>IF(Data!E153=0,"",Data!E153)</f>
        <v/>
      </c>
      <c r="D153" s="26">
        <f t="shared" si="2"/>
        <v>42065.869849537034</v>
      </c>
      <c r="E153" s="27">
        <f>Data!F153</f>
        <v>42065.869849537034</v>
      </c>
      <c r="F153" s="20" t="str">
        <f>Data!G153</f>
        <v>GpsRecord</v>
      </c>
      <c r="G153" s="20">
        <f>Data!H153</f>
        <v>3</v>
      </c>
      <c r="H153" s="20">
        <f>Data!I153</f>
        <v>139.40857</v>
      </c>
      <c r="I153" s="20">
        <f>Data!J153</f>
        <v>35.576140000000002</v>
      </c>
      <c r="J153" s="21" t="str">
        <f>IF(Data!K153=0,"",Data!K153)</f>
        <v>日本, 〒194-0034 東京都町田市根岸町 県道57号線</v>
      </c>
      <c r="K153" s="22">
        <f>Data!L153</f>
        <v>0</v>
      </c>
      <c r="L153" s="21" t="str">
        <f>IF(Data!N153=0,"",Data!N153)</f>
        <v>CurveZeroSpeed</v>
      </c>
      <c r="M153" s="20" t="b">
        <f>Data!O153</f>
        <v>1</v>
      </c>
      <c r="N153" s="20" t="b">
        <f>Data!P153</f>
        <v>0</v>
      </c>
      <c r="O153" s="20" t="b">
        <f>Data!Q153</f>
        <v>0</v>
      </c>
      <c r="P153" s="20" t="b">
        <f>Data!R153</f>
        <v>0</v>
      </c>
      <c r="Q153" s="20" t="b">
        <f>Data!S153</f>
        <v>0</v>
      </c>
      <c r="R153" s="20" t="b">
        <f>Data!T153</f>
        <v>0</v>
      </c>
      <c r="S153" s="20" t="b">
        <f>Data!U153</f>
        <v>0</v>
      </c>
      <c r="T153" s="20" t="b">
        <f>Data!V153</f>
        <v>0</v>
      </c>
      <c r="U153" s="20" t="b">
        <f>Data!W153</f>
        <v>0</v>
      </c>
      <c r="V153" s="20" t="b">
        <f>Data!X153</f>
        <v>1</v>
      </c>
      <c r="W153" s="20" t="b">
        <f>Data!Y153</f>
        <v>1</v>
      </c>
      <c r="X153" s="20">
        <f>Data!Z153</f>
        <v>0</v>
      </c>
      <c r="Y153" s="22">
        <f>Data!AL153</f>
        <v>0</v>
      </c>
      <c r="Z153" s="20">
        <f>Data!AC153</f>
        <v>0</v>
      </c>
      <c r="AA153" s="20">
        <f>Data!AE153</f>
        <v>0</v>
      </c>
      <c r="AB153" s="20">
        <f>Data!AG153</f>
        <v>0</v>
      </c>
      <c r="AC153" s="20" t="str">
        <f>CONCATENATE(Data!AI153," ",Data!AJ153)</f>
        <v xml:space="preserve"> </v>
      </c>
    </row>
    <row r="154" spans="1:29" ht="15">
      <c r="A154" s="20" t="str">
        <f>Data!A154</f>
        <v>デモ機</v>
      </c>
      <c r="B154" s="20" t="str">
        <f>Data!C154</f>
        <v>Entire Organization</v>
      </c>
      <c r="C154" s="20" t="str">
        <f>IF(Data!E154=0,"",Data!E154)</f>
        <v/>
      </c>
      <c r="D154" s="26">
        <f t="shared" si="2"/>
        <v>42065.869907638888</v>
      </c>
      <c r="E154" s="27">
        <f>Data!F154</f>
        <v>42065.869907638888</v>
      </c>
      <c r="F154" s="20" t="str">
        <f>Data!G154</f>
        <v>EngineStatusRecord</v>
      </c>
      <c r="G154" s="20">
        <f>Data!H154</f>
        <v>0</v>
      </c>
      <c r="H154" s="20">
        <f>Data!I154</f>
        <v>0</v>
      </c>
      <c r="I154" s="20">
        <f>Data!J154</f>
        <v>0</v>
      </c>
      <c r="J154" s="21" t="str">
        <f>IF(Data!K154=0,"",Data!K154)</f>
        <v/>
      </c>
      <c r="K154" s="22">
        <f>Data!L154</f>
        <v>0</v>
      </c>
      <c r="L154" s="21" t="str">
        <f>IF(Data!N154=0,"",Data!N154)</f>
        <v/>
      </c>
      <c r="M154" s="20">
        <f>Data!O154</f>
        <v>0</v>
      </c>
      <c r="N154" s="20">
        <f>Data!P154</f>
        <v>0</v>
      </c>
      <c r="O154" s="20">
        <f>Data!Q154</f>
        <v>0</v>
      </c>
      <c r="P154" s="20">
        <f>Data!R154</f>
        <v>0</v>
      </c>
      <c r="Q154" s="20">
        <f>Data!S154</f>
        <v>0</v>
      </c>
      <c r="R154" s="20">
        <f>Data!T154</f>
        <v>0</v>
      </c>
      <c r="S154" s="20">
        <f>Data!U154</f>
        <v>0</v>
      </c>
      <c r="T154" s="20">
        <f>Data!V154</f>
        <v>0</v>
      </c>
      <c r="U154" s="20">
        <f>Data!W154</f>
        <v>0</v>
      </c>
      <c r="V154" s="20">
        <f>Data!X154</f>
        <v>0</v>
      </c>
      <c r="W154" s="20">
        <f>Data!Y154</f>
        <v>0</v>
      </c>
      <c r="X154" s="20">
        <f>Data!Z154</f>
        <v>0</v>
      </c>
      <c r="Y154" s="22">
        <f>Data!AL154</f>
        <v>0</v>
      </c>
      <c r="Z154" s="20" t="str">
        <f>Data!AC154</f>
        <v>Engine RPM</v>
      </c>
      <c r="AA154" s="20" t="str">
        <f>Data!AE154</f>
        <v/>
      </c>
      <c r="AB154" s="20">
        <f>Data!AG154</f>
        <v>0</v>
      </c>
      <c r="AC154" s="20" t="str">
        <f>CONCATENATE(Data!AI154," ",Data!AJ154)</f>
        <v>1810 RPM</v>
      </c>
    </row>
    <row r="155" spans="1:29" ht="15">
      <c r="A155" s="20" t="str">
        <f>Data!A155</f>
        <v>デモ機</v>
      </c>
      <c r="B155" s="20" t="str">
        <f>Data!C155</f>
        <v>Entire Organization</v>
      </c>
      <c r="C155" s="20" t="str">
        <f>IF(Data!E155=0,"",Data!E155)</f>
        <v/>
      </c>
      <c r="D155" s="26">
        <f t="shared" si="2"/>
        <v>42065.869913194445</v>
      </c>
      <c r="E155" s="27">
        <f>Data!F155</f>
        <v>42065.869913194445</v>
      </c>
      <c r="F155" s="20" t="str">
        <f>Data!G155</f>
        <v>EngineStatusRecord</v>
      </c>
      <c r="G155" s="20">
        <f>Data!H155</f>
        <v>0</v>
      </c>
      <c r="H155" s="20">
        <f>Data!I155</f>
        <v>0</v>
      </c>
      <c r="I155" s="20">
        <f>Data!J155</f>
        <v>0</v>
      </c>
      <c r="J155" s="21" t="str">
        <f>IF(Data!K155=0,"",Data!K155)</f>
        <v/>
      </c>
      <c r="K155" s="22">
        <f>Data!L155</f>
        <v>0</v>
      </c>
      <c r="L155" s="21" t="str">
        <f>IF(Data!N155=0,"",Data!N155)</f>
        <v/>
      </c>
      <c r="M155" s="20">
        <f>Data!O155</f>
        <v>0</v>
      </c>
      <c r="N155" s="20">
        <f>Data!P155</f>
        <v>0</v>
      </c>
      <c r="O155" s="20">
        <f>Data!Q155</f>
        <v>0</v>
      </c>
      <c r="P155" s="20">
        <f>Data!R155</f>
        <v>0</v>
      </c>
      <c r="Q155" s="20">
        <f>Data!S155</f>
        <v>0</v>
      </c>
      <c r="R155" s="20">
        <f>Data!T155</f>
        <v>0</v>
      </c>
      <c r="S155" s="20">
        <f>Data!U155</f>
        <v>0</v>
      </c>
      <c r="T155" s="20">
        <f>Data!V155</f>
        <v>0</v>
      </c>
      <c r="U155" s="20">
        <f>Data!W155</f>
        <v>0</v>
      </c>
      <c r="V155" s="20">
        <f>Data!X155</f>
        <v>0</v>
      </c>
      <c r="W155" s="20">
        <f>Data!Y155</f>
        <v>0</v>
      </c>
      <c r="X155" s="20">
        <f>Data!Z155</f>
        <v>0</v>
      </c>
      <c r="Y155" s="22">
        <f>Data!AL155</f>
        <v>0</v>
      </c>
      <c r="Z155" s="20" t="str">
        <f>Data!AC155</f>
        <v>Telematics device voltage</v>
      </c>
      <c r="AA155" s="20" t="str">
        <f>Data!AE155</f>
        <v/>
      </c>
      <c r="AB155" s="20">
        <f>Data!AG155</f>
        <v>0</v>
      </c>
      <c r="AC155" s="20" t="str">
        <f>CONCATENATE(Data!AI155," ",Data!AJ155)</f>
        <v>14.0744438 V</v>
      </c>
    </row>
    <row r="156" spans="1:29" ht="15">
      <c r="A156" s="20" t="str">
        <f>Data!A156</f>
        <v>デモ機</v>
      </c>
      <c r="B156" s="20" t="str">
        <f>Data!C156</f>
        <v>Entire Organization</v>
      </c>
      <c r="C156" s="20" t="str">
        <f>IF(Data!E156=0,"",Data!E156)</f>
        <v/>
      </c>
      <c r="D156" s="26">
        <f t="shared" si="2"/>
        <v>42065.86991898148</v>
      </c>
      <c r="E156" s="27">
        <f>Data!F156</f>
        <v>42065.86991898148</v>
      </c>
      <c r="F156" s="20" t="str">
        <f>Data!G156</f>
        <v>GpsRecord</v>
      </c>
      <c r="G156" s="20">
        <f>Data!H156</f>
        <v>26</v>
      </c>
      <c r="H156" s="20">
        <f>Data!I156</f>
        <v>139.40873999999999</v>
      </c>
      <c r="I156" s="20">
        <f>Data!J156</f>
        <v>35.57629</v>
      </c>
      <c r="J156" s="21" t="str">
        <f>IF(Data!K156=0,"",Data!K156)</f>
        <v>日本, 〒194-0034 東京都町田市根岸町 県道57号線</v>
      </c>
      <c r="K156" s="22">
        <f>Data!L156</f>
        <v>0</v>
      </c>
      <c r="L156" s="21" t="str">
        <f>IF(Data!N156=0,"",Data!N156)</f>
        <v>CurveSpeed</v>
      </c>
      <c r="M156" s="20" t="b">
        <f>Data!O156</f>
        <v>1</v>
      </c>
      <c r="N156" s="20" t="b">
        <f>Data!P156</f>
        <v>0</v>
      </c>
      <c r="O156" s="20" t="b">
        <f>Data!Q156</f>
        <v>0</v>
      </c>
      <c r="P156" s="20" t="b">
        <f>Data!R156</f>
        <v>0</v>
      </c>
      <c r="Q156" s="20" t="b">
        <f>Data!S156</f>
        <v>0</v>
      </c>
      <c r="R156" s="20" t="b">
        <f>Data!T156</f>
        <v>0</v>
      </c>
      <c r="S156" s="20" t="b">
        <f>Data!U156</f>
        <v>0</v>
      </c>
      <c r="T156" s="20" t="b">
        <f>Data!V156</f>
        <v>0</v>
      </c>
      <c r="U156" s="20" t="b">
        <f>Data!W156</f>
        <v>0</v>
      </c>
      <c r="V156" s="20" t="b">
        <f>Data!X156</f>
        <v>1</v>
      </c>
      <c r="W156" s="20" t="b">
        <f>Data!Y156</f>
        <v>1</v>
      </c>
      <c r="X156" s="20">
        <f>Data!Z156</f>
        <v>0</v>
      </c>
      <c r="Y156" s="22">
        <f>Data!AL156</f>
        <v>0</v>
      </c>
      <c r="Z156" s="20">
        <f>Data!AC156</f>
        <v>0</v>
      </c>
      <c r="AA156" s="20">
        <f>Data!AE156</f>
        <v>0</v>
      </c>
      <c r="AB156" s="20">
        <f>Data!AG156</f>
        <v>0</v>
      </c>
      <c r="AC156" s="20" t="str">
        <f>CONCATENATE(Data!AI156," ",Data!AJ156)</f>
        <v xml:space="preserve"> </v>
      </c>
    </row>
    <row r="157" spans="1:29" ht="15">
      <c r="A157" s="20" t="str">
        <f>Data!A157</f>
        <v>デモ機</v>
      </c>
      <c r="B157" s="20" t="str">
        <f>Data!C157</f>
        <v>Entire Organization</v>
      </c>
      <c r="C157" s="20" t="str">
        <f>IF(Data!E157=0,"",Data!E157)</f>
        <v/>
      </c>
      <c r="D157" s="26">
        <f t="shared" si="2"/>
        <v>42065.870023148149</v>
      </c>
      <c r="E157" s="27">
        <f>Data!F157</f>
        <v>42065.870023148149</v>
      </c>
      <c r="F157" s="20" t="str">
        <f>Data!G157</f>
        <v>GpsRecord</v>
      </c>
      <c r="G157" s="20">
        <f>Data!H157</f>
        <v>31</v>
      </c>
      <c r="H157" s="20">
        <f>Data!I157</f>
        <v>139.40929</v>
      </c>
      <c r="I157" s="20">
        <f>Data!J157</f>
        <v>35.576810000000002</v>
      </c>
      <c r="J157" s="21" t="str">
        <f>IF(Data!K157=0,"",Data!K157)</f>
        <v>日本, 〒194-0034 東京都町田市根岸町 県道57号線</v>
      </c>
      <c r="K157" s="22">
        <f>Data!L157</f>
        <v>0</v>
      </c>
      <c r="L157" s="21" t="str">
        <f>IF(Data!N157=0,"",Data!N157)</f>
        <v>CurveSpeed</v>
      </c>
      <c r="M157" s="20" t="b">
        <f>Data!O157</f>
        <v>1</v>
      </c>
      <c r="N157" s="20" t="b">
        <f>Data!P157</f>
        <v>0</v>
      </c>
      <c r="O157" s="20" t="b">
        <f>Data!Q157</f>
        <v>0</v>
      </c>
      <c r="P157" s="20" t="b">
        <f>Data!R157</f>
        <v>0</v>
      </c>
      <c r="Q157" s="20" t="b">
        <f>Data!S157</f>
        <v>0</v>
      </c>
      <c r="R157" s="20" t="b">
        <f>Data!T157</f>
        <v>0</v>
      </c>
      <c r="S157" s="20" t="b">
        <f>Data!U157</f>
        <v>0</v>
      </c>
      <c r="T157" s="20" t="b">
        <f>Data!V157</f>
        <v>0</v>
      </c>
      <c r="U157" s="20" t="b">
        <f>Data!W157</f>
        <v>0</v>
      </c>
      <c r="V157" s="20" t="b">
        <f>Data!X157</f>
        <v>1</v>
      </c>
      <c r="W157" s="20" t="b">
        <f>Data!Y157</f>
        <v>1</v>
      </c>
      <c r="X157" s="20">
        <f>Data!Z157</f>
        <v>0</v>
      </c>
      <c r="Y157" s="22">
        <f>Data!AL157</f>
        <v>0</v>
      </c>
      <c r="Z157" s="20">
        <f>Data!AC157</f>
        <v>0</v>
      </c>
      <c r="AA157" s="20">
        <f>Data!AE157</f>
        <v>0</v>
      </c>
      <c r="AB157" s="20">
        <f>Data!AG157</f>
        <v>0</v>
      </c>
      <c r="AC157" s="20" t="str">
        <f>CONCATENATE(Data!AI157," ",Data!AJ157)</f>
        <v xml:space="preserve"> </v>
      </c>
    </row>
    <row r="158" spans="1:29" ht="15">
      <c r="A158" s="20" t="str">
        <f>Data!A158</f>
        <v>デモ機</v>
      </c>
      <c r="B158" s="20" t="str">
        <f>Data!C158</f>
        <v>Entire Organization</v>
      </c>
      <c r="C158" s="20" t="str">
        <f>IF(Data!E158=0,"",Data!E158)</f>
        <v/>
      </c>
      <c r="D158" s="26">
        <f t="shared" si="2"/>
        <v>42065.870028437501</v>
      </c>
      <c r="E158" s="27">
        <f>Data!F158</f>
        <v>42065.870028437501</v>
      </c>
      <c r="F158" s="20" t="str">
        <f>Data!G158</f>
        <v>EngineStatusRecord</v>
      </c>
      <c r="G158" s="20">
        <f>Data!H158</f>
        <v>0</v>
      </c>
      <c r="H158" s="20">
        <f>Data!I158</f>
        <v>0</v>
      </c>
      <c r="I158" s="20">
        <f>Data!J158</f>
        <v>0</v>
      </c>
      <c r="J158" s="21" t="str">
        <f>IF(Data!K158=0,"",Data!K158)</f>
        <v/>
      </c>
      <c r="K158" s="22">
        <f>Data!L158</f>
        <v>0</v>
      </c>
      <c r="L158" s="21" t="str">
        <f>IF(Data!N158=0,"",Data!N158)</f>
        <v/>
      </c>
      <c r="M158" s="20">
        <f>Data!O158</f>
        <v>0</v>
      </c>
      <c r="N158" s="20">
        <f>Data!P158</f>
        <v>0</v>
      </c>
      <c r="O158" s="20">
        <f>Data!Q158</f>
        <v>0</v>
      </c>
      <c r="P158" s="20">
        <f>Data!R158</f>
        <v>0</v>
      </c>
      <c r="Q158" s="20">
        <f>Data!S158</f>
        <v>0</v>
      </c>
      <c r="R158" s="20">
        <f>Data!T158</f>
        <v>0</v>
      </c>
      <c r="S158" s="20">
        <f>Data!U158</f>
        <v>0</v>
      </c>
      <c r="T158" s="20">
        <f>Data!V158</f>
        <v>0</v>
      </c>
      <c r="U158" s="20">
        <f>Data!W158</f>
        <v>0</v>
      </c>
      <c r="V158" s="20">
        <f>Data!X158</f>
        <v>0</v>
      </c>
      <c r="W158" s="20">
        <f>Data!Y158</f>
        <v>0</v>
      </c>
      <c r="X158" s="20">
        <f>Data!Z158</f>
        <v>0</v>
      </c>
      <c r="Y158" s="22">
        <f>Data!AL158</f>
        <v>0</v>
      </c>
      <c r="Z158" s="20" t="str">
        <f>Data!AC158</f>
        <v>Engine coolant temperature</v>
      </c>
      <c r="AA158" s="20" t="str">
        <f>Data!AE158</f>
        <v/>
      </c>
      <c r="AB158" s="20">
        <f>Data!AG158</f>
        <v>0</v>
      </c>
      <c r="AC158" s="20" t="str">
        <f>CONCATENATE(Data!AI158," ",Data!AJ158)</f>
        <v>45 C</v>
      </c>
    </row>
    <row r="159" spans="1:29" ht="15">
      <c r="A159" s="20" t="str">
        <f>Data!A159</f>
        <v>デモ機</v>
      </c>
      <c r="B159" s="20" t="str">
        <f>Data!C159</f>
        <v>Entire Organization</v>
      </c>
      <c r="C159" s="20" t="str">
        <f>IF(Data!E159=0,"",Data!E159)</f>
        <v/>
      </c>
      <c r="D159" s="26">
        <f t="shared" si="2"/>
        <v>42065.870144675922</v>
      </c>
      <c r="E159" s="27">
        <f>Data!F159</f>
        <v>42065.870144675922</v>
      </c>
      <c r="F159" s="20" t="str">
        <f>Data!G159</f>
        <v>EngineStatusRecord</v>
      </c>
      <c r="G159" s="20">
        <f>Data!H159</f>
        <v>0</v>
      </c>
      <c r="H159" s="20">
        <f>Data!I159</f>
        <v>0</v>
      </c>
      <c r="I159" s="20">
        <f>Data!J159</f>
        <v>0</v>
      </c>
      <c r="J159" s="21" t="str">
        <f>IF(Data!K159=0,"",Data!K159)</f>
        <v/>
      </c>
      <c r="K159" s="22">
        <f>Data!L159</f>
        <v>0</v>
      </c>
      <c r="L159" s="21" t="str">
        <f>IF(Data!N159=0,"",Data!N159)</f>
        <v/>
      </c>
      <c r="M159" s="20">
        <f>Data!O159</f>
        <v>0</v>
      </c>
      <c r="N159" s="20">
        <f>Data!P159</f>
        <v>0</v>
      </c>
      <c r="O159" s="20">
        <f>Data!Q159</f>
        <v>0</v>
      </c>
      <c r="P159" s="20">
        <f>Data!R159</f>
        <v>0</v>
      </c>
      <c r="Q159" s="20">
        <f>Data!S159</f>
        <v>0</v>
      </c>
      <c r="R159" s="20">
        <f>Data!T159</f>
        <v>0</v>
      </c>
      <c r="S159" s="20">
        <f>Data!U159</f>
        <v>0</v>
      </c>
      <c r="T159" s="20">
        <f>Data!V159</f>
        <v>0</v>
      </c>
      <c r="U159" s="20">
        <f>Data!W159</f>
        <v>0</v>
      </c>
      <c r="V159" s="20">
        <f>Data!X159</f>
        <v>0</v>
      </c>
      <c r="W159" s="20">
        <f>Data!Y159</f>
        <v>0</v>
      </c>
      <c r="X159" s="20">
        <f>Data!Z159</f>
        <v>0</v>
      </c>
      <c r="Y159" s="22">
        <f>Data!AL159</f>
        <v>0</v>
      </c>
      <c r="Z159" s="20" t="str">
        <f>Data!AC159</f>
        <v>Telematics device voltage</v>
      </c>
      <c r="AA159" s="20" t="str">
        <f>Data!AE159</f>
        <v/>
      </c>
      <c r="AB159" s="20">
        <f>Data!AG159</f>
        <v>0</v>
      </c>
      <c r="AC159" s="20" t="str">
        <f>CONCATENATE(Data!AI159," ",Data!AJ159)</f>
        <v>13.7166662 V</v>
      </c>
    </row>
    <row r="160" spans="1:29" ht="15">
      <c r="A160" s="20" t="str">
        <f>Data!A160</f>
        <v>デモ機</v>
      </c>
      <c r="B160" s="20" t="str">
        <f>Data!C160</f>
        <v>Entire Organization</v>
      </c>
      <c r="C160" s="20" t="str">
        <f>IF(Data!E160=0,"",Data!E160)</f>
        <v/>
      </c>
      <c r="D160" s="26">
        <f t="shared" si="2"/>
        <v>42065.870185185187</v>
      </c>
      <c r="E160" s="27">
        <f>Data!F160</f>
        <v>42065.870185185187</v>
      </c>
      <c r="F160" s="20" t="str">
        <f>Data!G160</f>
        <v>GpsRecord</v>
      </c>
      <c r="G160" s="20">
        <f>Data!H160</f>
        <v>0</v>
      </c>
      <c r="H160" s="20">
        <f>Data!I160</f>
        <v>139.40984</v>
      </c>
      <c r="I160" s="20">
        <f>Data!J160</f>
        <v>35.577289999999998</v>
      </c>
      <c r="J160" s="21" t="str">
        <f>IF(Data!K160=0,"",Data!K160)</f>
        <v>日本, 〒194-0034 東京都町田市根岸町 県道57号線</v>
      </c>
      <c r="K160" s="22">
        <f>Data!L160</f>
        <v>0</v>
      </c>
      <c r="L160" s="21" t="str">
        <f>IF(Data!N160=0,"",Data!N160)</f>
        <v>CurveZeroSpeed</v>
      </c>
      <c r="M160" s="20" t="b">
        <f>Data!O160</f>
        <v>1</v>
      </c>
      <c r="N160" s="20" t="b">
        <f>Data!P160</f>
        <v>0</v>
      </c>
      <c r="O160" s="20" t="b">
        <f>Data!Q160</f>
        <v>0</v>
      </c>
      <c r="P160" s="20" t="b">
        <f>Data!R160</f>
        <v>0</v>
      </c>
      <c r="Q160" s="20" t="b">
        <f>Data!S160</f>
        <v>0</v>
      </c>
      <c r="R160" s="20" t="b">
        <f>Data!T160</f>
        <v>0</v>
      </c>
      <c r="S160" s="20" t="b">
        <f>Data!U160</f>
        <v>0</v>
      </c>
      <c r="T160" s="20" t="b">
        <f>Data!V160</f>
        <v>0</v>
      </c>
      <c r="U160" s="20" t="b">
        <f>Data!W160</f>
        <v>0</v>
      </c>
      <c r="V160" s="20" t="b">
        <f>Data!X160</f>
        <v>1</v>
      </c>
      <c r="W160" s="20" t="b">
        <f>Data!Y160</f>
        <v>1</v>
      </c>
      <c r="X160" s="20">
        <f>Data!Z160</f>
        <v>0</v>
      </c>
      <c r="Y160" s="22">
        <f>Data!AL160</f>
        <v>0</v>
      </c>
      <c r="Z160" s="20">
        <f>Data!AC160</f>
        <v>0</v>
      </c>
      <c r="AA160" s="20">
        <f>Data!AE160</f>
        <v>0</v>
      </c>
      <c r="AB160" s="20">
        <f>Data!AG160</f>
        <v>0</v>
      </c>
      <c r="AC160" s="20" t="str">
        <f>CONCATENATE(Data!AI160," ",Data!AJ160)</f>
        <v xml:space="preserve"> </v>
      </c>
    </row>
    <row r="161" spans="1:29" ht="15">
      <c r="A161" s="20" t="str">
        <f>Data!A161</f>
        <v>デモ機</v>
      </c>
      <c r="B161" s="20" t="str">
        <f>Data!C161</f>
        <v>Entire Organization</v>
      </c>
      <c r="C161" s="20" t="str">
        <f>IF(Data!E161=0,"",Data!E161)</f>
        <v/>
      </c>
      <c r="D161" s="26">
        <f t="shared" si="2"/>
        <v>42065.87027777778</v>
      </c>
      <c r="E161" s="27">
        <f>Data!F161</f>
        <v>42065.87027777778</v>
      </c>
      <c r="F161" s="20" t="str">
        <f>Data!G161</f>
        <v>GpsRecord</v>
      </c>
      <c r="G161" s="20">
        <f>Data!H161</f>
        <v>0</v>
      </c>
      <c r="H161" s="20">
        <f>Data!I161</f>
        <v>139.40987000000001</v>
      </c>
      <c r="I161" s="20">
        <f>Data!J161</f>
        <v>35.57732</v>
      </c>
      <c r="J161" s="21" t="str">
        <f>IF(Data!K161=0,"",Data!K161)</f>
        <v>日本, 〒194-0034 東京都町田市根岸町 県道57号線</v>
      </c>
      <c r="K161" s="22">
        <f>Data!L161</f>
        <v>0</v>
      </c>
      <c r="L161" s="21" t="str">
        <f>IF(Data!N161=0,"",Data!N161)</f>
        <v>CurveTimeOut</v>
      </c>
      <c r="M161" s="20" t="b">
        <f>Data!O161</f>
        <v>1</v>
      </c>
      <c r="N161" s="20" t="b">
        <f>Data!P161</f>
        <v>0</v>
      </c>
      <c r="O161" s="20" t="b">
        <f>Data!Q161</f>
        <v>0</v>
      </c>
      <c r="P161" s="20" t="b">
        <f>Data!R161</f>
        <v>0</v>
      </c>
      <c r="Q161" s="20" t="b">
        <f>Data!S161</f>
        <v>0</v>
      </c>
      <c r="R161" s="20" t="b">
        <f>Data!T161</f>
        <v>0</v>
      </c>
      <c r="S161" s="20" t="b">
        <f>Data!U161</f>
        <v>0</v>
      </c>
      <c r="T161" s="20" t="b">
        <f>Data!V161</f>
        <v>0</v>
      </c>
      <c r="U161" s="20" t="b">
        <f>Data!W161</f>
        <v>0</v>
      </c>
      <c r="V161" s="20" t="b">
        <f>Data!X161</f>
        <v>1</v>
      </c>
      <c r="W161" s="20" t="b">
        <f>Data!Y161</f>
        <v>1</v>
      </c>
      <c r="X161" s="20">
        <f>Data!Z161</f>
        <v>0</v>
      </c>
      <c r="Y161" s="22">
        <f>Data!AL161</f>
        <v>0</v>
      </c>
      <c r="Z161" s="20">
        <f>Data!AC161</f>
        <v>0</v>
      </c>
      <c r="AA161" s="20">
        <f>Data!AE161</f>
        <v>0</v>
      </c>
      <c r="AB161" s="20">
        <f>Data!AG161</f>
        <v>0</v>
      </c>
      <c r="AC161" s="20" t="str">
        <f>CONCATENATE(Data!AI161," ",Data!AJ161)</f>
        <v xml:space="preserve"> </v>
      </c>
    </row>
    <row r="162" spans="1:29" ht="15">
      <c r="A162" s="20" t="str">
        <f>Data!A162</f>
        <v>デモ機</v>
      </c>
      <c r="B162" s="20" t="str">
        <f>Data!C162</f>
        <v>Entire Organization</v>
      </c>
      <c r="C162" s="20" t="str">
        <f>IF(Data!E162=0,"",Data!E162)</f>
        <v/>
      </c>
      <c r="D162" s="26">
        <f t="shared" si="2"/>
        <v>42065.870370520832</v>
      </c>
      <c r="E162" s="27">
        <f>Data!F162</f>
        <v>42065.870370520832</v>
      </c>
      <c r="F162" s="20" t="str">
        <f>Data!G162</f>
        <v>EngineStatusRecord</v>
      </c>
      <c r="G162" s="20">
        <f>Data!H162</f>
        <v>0</v>
      </c>
      <c r="H162" s="20">
        <f>Data!I162</f>
        <v>0</v>
      </c>
      <c r="I162" s="20">
        <f>Data!J162</f>
        <v>0</v>
      </c>
      <c r="J162" s="21" t="str">
        <f>IF(Data!K162=0,"",Data!K162)</f>
        <v/>
      </c>
      <c r="K162" s="22">
        <f>Data!L162</f>
        <v>0</v>
      </c>
      <c r="L162" s="21" t="str">
        <f>IF(Data!N162=0,"",Data!N162)</f>
        <v/>
      </c>
      <c r="M162" s="20">
        <f>Data!O162</f>
        <v>0</v>
      </c>
      <c r="N162" s="20">
        <f>Data!P162</f>
        <v>0</v>
      </c>
      <c r="O162" s="20">
        <f>Data!Q162</f>
        <v>0</v>
      </c>
      <c r="P162" s="20">
        <f>Data!R162</f>
        <v>0</v>
      </c>
      <c r="Q162" s="20">
        <f>Data!S162</f>
        <v>0</v>
      </c>
      <c r="R162" s="20">
        <f>Data!T162</f>
        <v>0</v>
      </c>
      <c r="S162" s="20">
        <f>Data!U162</f>
        <v>0</v>
      </c>
      <c r="T162" s="20">
        <f>Data!V162</f>
        <v>0</v>
      </c>
      <c r="U162" s="20">
        <f>Data!W162</f>
        <v>0</v>
      </c>
      <c r="V162" s="20">
        <f>Data!X162</f>
        <v>0</v>
      </c>
      <c r="W162" s="20">
        <f>Data!Y162</f>
        <v>0</v>
      </c>
      <c r="X162" s="20">
        <f>Data!Z162</f>
        <v>0</v>
      </c>
      <c r="Y162" s="22">
        <f>Data!AL162</f>
        <v>0</v>
      </c>
      <c r="Z162" s="20" t="str">
        <f>Data!AC162</f>
        <v>Engine RPM</v>
      </c>
      <c r="AA162" s="20" t="str">
        <f>Data!AE162</f>
        <v/>
      </c>
      <c r="AB162" s="20">
        <f>Data!AG162</f>
        <v>0</v>
      </c>
      <c r="AC162" s="20" t="str">
        <f>CONCATENATE(Data!AI162," ",Data!AJ162)</f>
        <v>791.25 RPM</v>
      </c>
    </row>
    <row r="163" spans="1:29" ht="15">
      <c r="A163" s="20" t="str">
        <f>Data!A163</f>
        <v>デモ機</v>
      </c>
      <c r="B163" s="20" t="str">
        <f>Data!C163</f>
        <v>Entire Organization</v>
      </c>
      <c r="C163" s="20" t="str">
        <f>IF(Data!E163=0,"",Data!E163)</f>
        <v/>
      </c>
      <c r="D163" s="26">
        <f t="shared" si="2"/>
        <v>42065.870381944442</v>
      </c>
      <c r="E163" s="27">
        <f>Data!F163</f>
        <v>42065.870381944442</v>
      </c>
      <c r="F163" s="20" t="str">
        <f>Data!G163</f>
        <v>GpsRecord</v>
      </c>
      <c r="G163" s="20">
        <f>Data!H163</f>
        <v>1</v>
      </c>
      <c r="H163" s="20">
        <f>Data!I163</f>
        <v>139.40987000000001</v>
      </c>
      <c r="I163" s="20">
        <f>Data!J163</f>
        <v>35.57732</v>
      </c>
      <c r="J163" s="21" t="str">
        <f>IF(Data!K163=0,"",Data!K163)</f>
        <v>日本, 〒194-0034 東京都町田市根岸町 県道57号線</v>
      </c>
      <c r="K163" s="22">
        <f>Data!L163</f>
        <v>0</v>
      </c>
      <c r="L163" s="21" t="str">
        <f>IF(Data!N163=0,"",Data!N163)</f>
        <v>CurveZeroSpeed</v>
      </c>
      <c r="M163" s="20" t="b">
        <f>Data!O163</f>
        <v>1</v>
      </c>
      <c r="N163" s="20" t="b">
        <f>Data!P163</f>
        <v>0</v>
      </c>
      <c r="O163" s="20" t="b">
        <f>Data!Q163</f>
        <v>0</v>
      </c>
      <c r="P163" s="20" t="b">
        <f>Data!R163</f>
        <v>0</v>
      </c>
      <c r="Q163" s="20" t="b">
        <f>Data!S163</f>
        <v>0</v>
      </c>
      <c r="R163" s="20" t="b">
        <f>Data!T163</f>
        <v>0</v>
      </c>
      <c r="S163" s="20" t="b">
        <f>Data!U163</f>
        <v>0</v>
      </c>
      <c r="T163" s="20" t="b">
        <f>Data!V163</f>
        <v>0</v>
      </c>
      <c r="U163" s="20" t="b">
        <f>Data!W163</f>
        <v>0</v>
      </c>
      <c r="V163" s="20" t="b">
        <f>Data!X163</f>
        <v>1</v>
      </c>
      <c r="W163" s="20" t="b">
        <f>Data!Y163</f>
        <v>1</v>
      </c>
      <c r="X163" s="20">
        <f>Data!Z163</f>
        <v>0</v>
      </c>
      <c r="Y163" s="22">
        <f>Data!AL163</f>
        <v>0</v>
      </c>
      <c r="Z163" s="20">
        <f>Data!AC163</f>
        <v>0</v>
      </c>
      <c r="AA163" s="20">
        <f>Data!AE163</f>
        <v>0</v>
      </c>
      <c r="AB163" s="20">
        <f>Data!AG163</f>
        <v>0</v>
      </c>
      <c r="AC163" s="20" t="str">
        <f>CONCATENATE(Data!AI163," ",Data!AJ163)</f>
        <v xml:space="preserve"> </v>
      </c>
    </row>
    <row r="164" spans="1:29" ht="15">
      <c r="A164" s="20" t="str">
        <f>Data!A164</f>
        <v>デモ機</v>
      </c>
      <c r="B164" s="20" t="str">
        <f>Data!C164</f>
        <v>Entire Organization</v>
      </c>
      <c r="C164" s="20" t="str">
        <f>IF(Data!E164=0,"",Data!E164)</f>
        <v/>
      </c>
      <c r="D164" s="26">
        <f t="shared" si="2"/>
        <v>42065.870428321759</v>
      </c>
      <c r="E164" s="27">
        <f>Data!F164</f>
        <v>42065.870428321759</v>
      </c>
      <c r="F164" s="20" t="str">
        <f>Data!G164</f>
        <v>EngineStatusRecord</v>
      </c>
      <c r="G164" s="20">
        <f>Data!H164</f>
        <v>0</v>
      </c>
      <c r="H164" s="20">
        <f>Data!I164</f>
        <v>0</v>
      </c>
      <c r="I164" s="20">
        <f>Data!J164</f>
        <v>0</v>
      </c>
      <c r="J164" s="21" t="str">
        <f>IF(Data!K164=0,"",Data!K164)</f>
        <v/>
      </c>
      <c r="K164" s="22">
        <f>Data!L164</f>
        <v>0</v>
      </c>
      <c r="L164" s="21" t="str">
        <f>IF(Data!N164=0,"",Data!N164)</f>
        <v/>
      </c>
      <c r="M164" s="20">
        <f>Data!O164</f>
        <v>0</v>
      </c>
      <c r="N164" s="20">
        <f>Data!P164</f>
        <v>0</v>
      </c>
      <c r="O164" s="20">
        <f>Data!Q164</f>
        <v>0</v>
      </c>
      <c r="P164" s="20">
        <f>Data!R164</f>
        <v>0</v>
      </c>
      <c r="Q164" s="20">
        <f>Data!S164</f>
        <v>0</v>
      </c>
      <c r="R164" s="20">
        <f>Data!T164</f>
        <v>0</v>
      </c>
      <c r="S164" s="20">
        <f>Data!U164</f>
        <v>0</v>
      </c>
      <c r="T164" s="20">
        <f>Data!V164</f>
        <v>0</v>
      </c>
      <c r="U164" s="20">
        <f>Data!W164</f>
        <v>0</v>
      </c>
      <c r="V164" s="20">
        <f>Data!X164</f>
        <v>0</v>
      </c>
      <c r="W164" s="20">
        <f>Data!Y164</f>
        <v>0</v>
      </c>
      <c r="X164" s="20">
        <f>Data!Z164</f>
        <v>0</v>
      </c>
      <c r="Y164" s="22">
        <f>Data!AL164</f>
        <v>0</v>
      </c>
      <c r="Z164" s="20" t="str">
        <f>Data!AC164</f>
        <v>Engine RPM</v>
      </c>
      <c r="AA164" s="20" t="str">
        <f>Data!AE164</f>
        <v/>
      </c>
      <c r="AB164" s="20">
        <f>Data!AG164</f>
        <v>0</v>
      </c>
      <c r="AC164" s="20" t="str">
        <f>CONCATENATE(Data!AI164," ",Data!AJ164)</f>
        <v>1909 RPM</v>
      </c>
    </row>
    <row r="165" spans="1:29" ht="15">
      <c r="A165" s="20" t="str">
        <f>Data!A165</f>
        <v>デモ機</v>
      </c>
      <c r="B165" s="20" t="str">
        <f>Data!C165</f>
        <v>Entire Organization</v>
      </c>
      <c r="C165" s="20" t="str">
        <f>IF(Data!E165=0,"",Data!E165)</f>
        <v/>
      </c>
      <c r="D165" s="26">
        <f t="shared" si="2"/>
        <v>42065.870532835645</v>
      </c>
      <c r="E165" s="27">
        <f>Data!F165</f>
        <v>42065.870532835645</v>
      </c>
      <c r="F165" s="20" t="str">
        <f>Data!G165</f>
        <v>EngineStatusRecord</v>
      </c>
      <c r="G165" s="20">
        <f>Data!H165</f>
        <v>0</v>
      </c>
      <c r="H165" s="20">
        <f>Data!I165</f>
        <v>0</v>
      </c>
      <c r="I165" s="20">
        <f>Data!J165</f>
        <v>0</v>
      </c>
      <c r="J165" s="21" t="str">
        <f>IF(Data!K165=0,"",Data!K165)</f>
        <v/>
      </c>
      <c r="K165" s="22">
        <f>Data!L165</f>
        <v>0</v>
      </c>
      <c r="L165" s="21" t="str">
        <f>IF(Data!N165=0,"",Data!N165)</f>
        <v/>
      </c>
      <c r="M165" s="20">
        <f>Data!O165</f>
        <v>0</v>
      </c>
      <c r="N165" s="20">
        <f>Data!P165</f>
        <v>0</v>
      </c>
      <c r="O165" s="20">
        <f>Data!Q165</f>
        <v>0</v>
      </c>
      <c r="P165" s="20">
        <f>Data!R165</f>
        <v>0</v>
      </c>
      <c r="Q165" s="20">
        <f>Data!S165</f>
        <v>0</v>
      </c>
      <c r="R165" s="20">
        <f>Data!T165</f>
        <v>0</v>
      </c>
      <c r="S165" s="20">
        <f>Data!U165</f>
        <v>0</v>
      </c>
      <c r="T165" s="20">
        <f>Data!V165</f>
        <v>0</v>
      </c>
      <c r="U165" s="20">
        <f>Data!W165</f>
        <v>0</v>
      </c>
      <c r="V165" s="20">
        <f>Data!X165</f>
        <v>0</v>
      </c>
      <c r="W165" s="20">
        <f>Data!Y165</f>
        <v>0</v>
      </c>
      <c r="X165" s="20">
        <f>Data!Z165</f>
        <v>0</v>
      </c>
      <c r="Y165" s="22">
        <f>Data!AL165</f>
        <v>0</v>
      </c>
      <c r="Z165" s="20" t="str">
        <f>Data!AC165</f>
        <v>Engine RPM</v>
      </c>
      <c r="AA165" s="20" t="str">
        <f>Data!AE165</f>
        <v/>
      </c>
      <c r="AB165" s="20">
        <f>Data!AG165</f>
        <v>0</v>
      </c>
      <c r="AC165" s="20" t="str">
        <f>CONCATENATE(Data!AI165," ",Data!AJ165)</f>
        <v>1931.5 RPM</v>
      </c>
    </row>
    <row r="166" spans="1:29" ht="15">
      <c r="A166" s="20" t="str">
        <f>Data!A166</f>
        <v>デモ機</v>
      </c>
      <c r="B166" s="20" t="str">
        <f>Data!C166</f>
        <v>Entire Organization</v>
      </c>
      <c r="C166" s="20" t="str">
        <f>IF(Data!E166=0,"",Data!E166)</f>
        <v/>
      </c>
      <c r="D166" s="26">
        <f t="shared" si="2"/>
        <v>42065.87054398148</v>
      </c>
      <c r="E166" s="27">
        <f>Data!F166</f>
        <v>42065.87054398148</v>
      </c>
      <c r="F166" s="20" t="str">
        <f>Data!G166</f>
        <v>GpsRecord</v>
      </c>
      <c r="G166" s="20">
        <f>Data!H166</f>
        <v>31</v>
      </c>
      <c r="H166" s="20">
        <f>Data!I166</f>
        <v>139.41046</v>
      </c>
      <c r="I166" s="20">
        <f>Data!J166</f>
        <v>35.577800000000003</v>
      </c>
      <c r="J166" s="21" t="str">
        <f>IF(Data!K166=0,"",Data!K166)</f>
        <v>日本, 東京都町田市 県道57号線</v>
      </c>
      <c r="K166" s="22">
        <f>Data!L166</f>
        <v>0</v>
      </c>
      <c r="L166" s="21" t="str">
        <f>IF(Data!N166=0,"",Data!N166)</f>
        <v>CurveSpeed</v>
      </c>
      <c r="M166" s="20" t="b">
        <f>Data!O166</f>
        <v>1</v>
      </c>
      <c r="N166" s="20" t="b">
        <f>Data!P166</f>
        <v>0</v>
      </c>
      <c r="O166" s="20" t="b">
        <f>Data!Q166</f>
        <v>0</v>
      </c>
      <c r="P166" s="20" t="b">
        <f>Data!R166</f>
        <v>0</v>
      </c>
      <c r="Q166" s="20" t="b">
        <f>Data!S166</f>
        <v>0</v>
      </c>
      <c r="R166" s="20" t="b">
        <f>Data!T166</f>
        <v>0</v>
      </c>
      <c r="S166" s="20" t="b">
        <f>Data!U166</f>
        <v>0</v>
      </c>
      <c r="T166" s="20" t="b">
        <f>Data!V166</f>
        <v>0</v>
      </c>
      <c r="U166" s="20" t="b">
        <f>Data!W166</f>
        <v>0</v>
      </c>
      <c r="V166" s="20" t="b">
        <f>Data!X166</f>
        <v>1</v>
      </c>
      <c r="W166" s="20" t="b">
        <f>Data!Y166</f>
        <v>1</v>
      </c>
      <c r="X166" s="20">
        <f>Data!Z166</f>
        <v>0</v>
      </c>
      <c r="Y166" s="22">
        <f>Data!AL166</f>
        <v>0</v>
      </c>
      <c r="Z166" s="20">
        <f>Data!AC166</f>
        <v>0</v>
      </c>
      <c r="AA166" s="20">
        <f>Data!AE166</f>
        <v>0</v>
      </c>
      <c r="AB166" s="20">
        <f>Data!AG166</f>
        <v>0</v>
      </c>
      <c r="AC166" s="20" t="str">
        <f>CONCATENATE(Data!AI166," ",Data!AJ166)</f>
        <v xml:space="preserve"> </v>
      </c>
    </row>
    <row r="167" spans="1:29" ht="15">
      <c r="A167" s="20" t="str">
        <f>Data!A167</f>
        <v>デモ機</v>
      </c>
      <c r="B167" s="20" t="str">
        <f>Data!C167</f>
        <v>Entire Organization</v>
      </c>
      <c r="C167" s="20" t="str">
        <f>IF(Data!E167=0,"",Data!E167)</f>
        <v/>
      </c>
      <c r="D167" s="26">
        <f t="shared" si="2"/>
        <v>42065.870567164355</v>
      </c>
      <c r="E167" s="27">
        <f>Data!F167</f>
        <v>42065.870567164355</v>
      </c>
      <c r="F167" s="20" t="str">
        <f>Data!G167</f>
        <v>EngineStatusRecord</v>
      </c>
      <c r="G167" s="20">
        <f>Data!H167</f>
        <v>0</v>
      </c>
      <c r="H167" s="20">
        <f>Data!I167</f>
        <v>0</v>
      </c>
      <c r="I167" s="20">
        <f>Data!J167</f>
        <v>0</v>
      </c>
      <c r="J167" s="21" t="str">
        <f>IF(Data!K167=0,"",Data!K167)</f>
        <v/>
      </c>
      <c r="K167" s="22">
        <f>Data!L167</f>
        <v>0</v>
      </c>
      <c r="L167" s="21" t="str">
        <f>IF(Data!N167=0,"",Data!N167)</f>
        <v/>
      </c>
      <c r="M167" s="20">
        <f>Data!O167</f>
        <v>0</v>
      </c>
      <c r="N167" s="20">
        <f>Data!P167</f>
        <v>0</v>
      </c>
      <c r="O167" s="20">
        <f>Data!Q167</f>
        <v>0</v>
      </c>
      <c r="P167" s="20">
        <f>Data!R167</f>
        <v>0</v>
      </c>
      <c r="Q167" s="20">
        <f>Data!S167</f>
        <v>0</v>
      </c>
      <c r="R167" s="20">
        <f>Data!T167</f>
        <v>0</v>
      </c>
      <c r="S167" s="20">
        <f>Data!U167</f>
        <v>0</v>
      </c>
      <c r="T167" s="20">
        <f>Data!V167</f>
        <v>0</v>
      </c>
      <c r="U167" s="20">
        <f>Data!W167</f>
        <v>0</v>
      </c>
      <c r="V167" s="20">
        <f>Data!X167</f>
        <v>0</v>
      </c>
      <c r="W167" s="20">
        <f>Data!Y167</f>
        <v>0</v>
      </c>
      <c r="X167" s="20">
        <f>Data!Z167</f>
        <v>0</v>
      </c>
      <c r="Y167" s="22">
        <f>Data!AL167</f>
        <v>0</v>
      </c>
      <c r="Z167" s="20" t="str">
        <f>Data!AC167</f>
        <v>Engine RPM</v>
      </c>
      <c r="AA167" s="20" t="str">
        <f>Data!AE167</f>
        <v/>
      </c>
      <c r="AB167" s="20">
        <f>Data!AG167</f>
        <v>0</v>
      </c>
      <c r="AC167" s="20" t="str">
        <f>CONCATENATE(Data!AI167," ",Data!AJ167)</f>
        <v>1146.75 RPM</v>
      </c>
    </row>
    <row r="168" spans="1:29" ht="15">
      <c r="A168" s="20" t="str">
        <f>Data!A168</f>
        <v>デモ機</v>
      </c>
      <c r="B168" s="20" t="str">
        <f>Data!C168</f>
        <v>Entire Organization</v>
      </c>
      <c r="C168" s="20" t="str">
        <f>IF(Data!E168=0,"",Data!E168)</f>
        <v/>
      </c>
      <c r="D168" s="26">
        <f t="shared" si="2"/>
        <v>42065.870659722219</v>
      </c>
      <c r="E168" s="27">
        <f>Data!F168</f>
        <v>42065.870659722219</v>
      </c>
      <c r="F168" s="20" t="str">
        <f>Data!G168</f>
        <v>GpsRecord</v>
      </c>
      <c r="G168" s="20">
        <f>Data!H168</f>
        <v>0</v>
      </c>
      <c r="H168" s="20">
        <f>Data!I168</f>
        <v>139.41081</v>
      </c>
      <c r="I168" s="20">
        <f>Data!J168</f>
        <v>35.578139999999998</v>
      </c>
      <c r="J168" s="21" t="str">
        <f>IF(Data!K168=0,"",Data!K168)</f>
        <v>日本, 東京都町田市 県道57号線</v>
      </c>
      <c r="K168" s="22">
        <f>Data!L168</f>
        <v>0</v>
      </c>
      <c r="L168" s="21" t="str">
        <f>IF(Data!N168=0,"",Data!N168)</f>
        <v>CurveZeroSpeed</v>
      </c>
      <c r="M168" s="20" t="b">
        <f>Data!O168</f>
        <v>1</v>
      </c>
      <c r="N168" s="20" t="b">
        <f>Data!P168</f>
        <v>0</v>
      </c>
      <c r="O168" s="20" t="b">
        <f>Data!Q168</f>
        <v>0</v>
      </c>
      <c r="P168" s="20" t="b">
        <f>Data!R168</f>
        <v>0</v>
      </c>
      <c r="Q168" s="20" t="b">
        <f>Data!S168</f>
        <v>0</v>
      </c>
      <c r="R168" s="20" t="b">
        <f>Data!T168</f>
        <v>0</v>
      </c>
      <c r="S168" s="20" t="b">
        <f>Data!U168</f>
        <v>0</v>
      </c>
      <c r="T168" s="20" t="b">
        <f>Data!V168</f>
        <v>0</v>
      </c>
      <c r="U168" s="20" t="b">
        <f>Data!W168</f>
        <v>0</v>
      </c>
      <c r="V168" s="20" t="b">
        <f>Data!X168</f>
        <v>1</v>
      </c>
      <c r="W168" s="20" t="b">
        <f>Data!Y168</f>
        <v>1</v>
      </c>
      <c r="X168" s="20">
        <f>Data!Z168</f>
        <v>0</v>
      </c>
      <c r="Y168" s="22">
        <f>Data!AL168</f>
        <v>0</v>
      </c>
      <c r="Z168" s="20">
        <f>Data!AC168</f>
        <v>0</v>
      </c>
      <c r="AA168" s="20">
        <f>Data!AE168</f>
        <v>0</v>
      </c>
      <c r="AB168" s="20">
        <f>Data!AG168</f>
        <v>0</v>
      </c>
      <c r="AC168" s="20" t="str">
        <f>CONCATENATE(Data!AI168," ",Data!AJ168)</f>
        <v xml:space="preserve"> </v>
      </c>
    </row>
    <row r="169" spans="1:29" ht="15">
      <c r="A169" s="20" t="str">
        <f>Data!A169</f>
        <v>デモ機</v>
      </c>
      <c r="B169" s="20" t="str">
        <f>Data!C169</f>
        <v>Entire Organization</v>
      </c>
      <c r="C169" s="20" t="str">
        <f>IF(Data!E169=0,"",Data!E169)</f>
        <v/>
      </c>
      <c r="D169" s="26">
        <f t="shared" si="2"/>
        <v>42065.870954861108</v>
      </c>
      <c r="E169" s="27">
        <f>Data!F169</f>
        <v>42065.870954861108</v>
      </c>
      <c r="F169" s="20" t="str">
        <f>Data!G169</f>
        <v>EngineStatusRecord</v>
      </c>
      <c r="G169" s="20">
        <f>Data!H169</f>
        <v>0</v>
      </c>
      <c r="H169" s="20">
        <f>Data!I169</f>
        <v>0</v>
      </c>
      <c r="I169" s="20">
        <f>Data!J169</f>
        <v>0</v>
      </c>
      <c r="J169" s="21" t="str">
        <f>IF(Data!K169=0,"",Data!K169)</f>
        <v/>
      </c>
      <c r="K169" s="22">
        <f>Data!L169</f>
        <v>0</v>
      </c>
      <c r="L169" s="21" t="str">
        <f>IF(Data!N169=0,"",Data!N169)</f>
        <v/>
      </c>
      <c r="M169" s="20">
        <f>Data!O169</f>
        <v>0</v>
      </c>
      <c r="N169" s="20">
        <f>Data!P169</f>
        <v>0</v>
      </c>
      <c r="O169" s="20">
        <f>Data!Q169</f>
        <v>0</v>
      </c>
      <c r="P169" s="20">
        <f>Data!R169</f>
        <v>0</v>
      </c>
      <c r="Q169" s="20">
        <f>Data!S169</f>
        <v>0</v>
      </c>
      <c r="R169" s="20">
        <f>Data!T169</f>
        <v>0</v>
      </c>
      <c r="S169" s="20">
        <f>Data!U169</f>
        <v>0</v>
      </c>
      <c r="T169" s="20">
        <f>Data!V169</f>
        <v>0</v>
      </c>
      <c r="U169" s="20">
        <f>Data!W169</f>
        <v>0</v>
      </c>
      <c r="V169" s="20">
        <f>Data!X169</f>
        <v>0</v>
      </c>
      <c r="W169" s="20">
        <f>Data!Y169</f>
        <v>0</v>
      </c>
      <c r="X169" s="20">
        <f>Data!Z169</f>
        <v>0</v>
      </c>
      <c r="Y169" s="22">
        <f>Data!AL169</f>
        <v>0</v>
      </c>
      <c r="Z169" s="20" t="str">
        <f>Data!AC169</f>
        <v>Telematics device voltage</v>
      </c>
      <c r="AA169" s="20" t="str">
        <f>Data!AE169</f>
        <v/>
      </c>
      <c r="AB169" s="20">
        <f>Data!AG169</f>
        <v>0</v>
      </c>
      <c r="AC169" s="20" t="str">
        <f>CONCATENATE(Data!AI169," ",Data!AJ169)</f>
        <v>14.0028887 V</v>
      </c>
    </row>
    <row r="170" spans="1:29" ht="15">
      <c r="A170" s="20" t="str">
        <f>Data!A170</f>
        <v>デモ機</v>
      </c>
      <c r="B170" s="20" t="str">
        <f>Data!C170</f>
        <v>Entire Organization</v>
      </c>
      <c r="C170" s="20" t="str">
        <f>IF(Data!E170=0,"",Data!E170)</f>
        <v/>
      </c>
      <c r="D170" s="26">
        <f t="shared" si="2"/>
        <v>42065.87096064815</v>
      </c>
      <c r="E170" s="27">
        <f>Data!F170</f>
        <v>42065.87096064815</v>
      </c>
      <c r="F170" s="20" t="str">
        <f>Data!G170</f>
        <v>DebugRecord</v>
      </c>
      <c r="G170" s="20">
        <f>Data!H170</f>
        <v>0</v>
      </c>
      <c r="H170" s="20">
        <f>Data!I170</f>
        <v>0</v>
      </c>
      <c r="I170" s="20">
        <f>Data!J170</f>
        <v>0</v>
      </c>
      <c r="J170" s="21" t="str">
        <f>IF(Data!K170=0,"",Data!K170)</f>
        <v/>
      </c>
      <c r="K170" s="22">
        <f>Data!L170</f>
        <v>0</v>
      </c>
      <c r="L170" s="21" t="str">
        <f>IF(Data!N170=0,"",Data!N170)</f>
        <v>IntermittentConnectionTestProtocolCanObd</v>
      </c>
      <c r="M170" s="20">
        <f>Data!O170</f>
        <v>0</v>
      </c>
      <c r="N170" s="20">
        <f>Data!P170</f>
        <v>0</v>
      </c>
      <c r="O170" s="20">
        <f>Data!Q170</f>
        <v>0</v>
      </c>
      <c r="P170" s="20">
        <f>Data!R170</f>
        <v>0</v>
      </c>
      <c r="Q170" s="20">
        <f>Data!S170</f>
        <v>0</v>
      </c>
      <c r="R170" s="20">
        <f>Data!T170</f>
        <v>0</v>
      </c>
      <c r="S170" s="20">
        <f>Data!U170</f>
        <v>0</v>
      </c>
      <c r="T170" s="20">
        <f>Data!V170</f>
        <v>0</v>
      </c>
      <c r="U170" s="20">
        <f>Data!W170</f>
        <v>0</v>
      </c>
      <c r="V170" s="20">
        <f>Data!X170</f>
        <v>0</v>
      </c>
      <c r="W170" s="20">
        <f>Data!Y170</f>
        <v>0</v>
      </c>
      <c r="X170" s="20">
        <f>Data!Z170</f>
        <v>0</v>
      </c>
      <c r="Y170" s="22" t="str">
        <f>Data!AL170</f>
        <v>640000000000000000000000000000</v>
      </c>
      <c r="Z170" s="20">
        <f>Data!AC170</f>
        <v>0</v>
      </c>
      <c r="AA170" s="20">
        <f>Data!AE170</f>
        <v>0</v>
      </c>
      <c r="AB170" s="20">
        <f>Data!AG170</f>
        <v>0</v>
      </c>
      <c r="AC170" s="20" t="str">
        <f>CONCATENATE(Data!AI170," ",Data!AJ170)</f>
        <v xml:space="preserve"> </v>
      </c>
    </row>
    <row r="171" spans="1:29" ht="15">
      <c r="A171" s="20" t="str">
        <f>Data!A171</f>
        <v>デモ機</v>
      </c>
      <c r="B171" s="20" t="str">
        <f>Data!C171</f>
        <v>Entire Organization</v>
      </c>
      <c r="C171" s="20" t="str">
        <f>IF(Data!E171=0,"",Data!E171)</f>
        <v/>
      </c>
      <c r="D171" s="26">
        <f t="shared" si="2"/>
        <v>42065.871377465279</v>
      </c>
      <c r="E171" s="27">
        <f>Data!F171</f>
        <v>42065.871377465279</v>
      </c>
      <c r="F171" s="20" t="str">
        <f>Data!G171</f>
        <v>EngineStatusRecord</v>
      </c>
      <c r="G171" s="20">
        <f>Data!H171</f>
        <v>0</v>
      </c>
      <c r="H171" s="20">
        <f>Data!I171</f>
        <v>0</v>
      </c>
      <c r="I171" s="20">
        <f>Data!J171</f>
        <v>0</v>
      </c>
      <c r="J171" s="21" t="str">
        <f>IF(Data!K171=0,"",Data!K171)</f>
        <v/>
      </c>
      <c r="K171" s="22">
        <f>Data!L171</f>
        <v>0</v>
      </c>
      <c r="L171" s="21" t="str">
        <f>IF(Data!N171=0,"",Data!N171)</f>
        <v/>
      </c>
      <c r="M171" s="20">
        <f>Data!O171</f>
        <v>0</v>
      </c>
      <c r="N171" s="20">
        <f>Data!P171</f>
        <v>0</v>
      </c>
      <c r="O171" s="20">
        <f>Data!Q171</f>
        <v>0</v>
      </c>
      <c r="P171" s="20">
        <f>Data!R171</f>
        <v>0</v>
      </c>
      <c r="Q171" s="20">
        <f>Data!S171</f>
        <v>0</v>
      </c>
      <c r="R171" s="20">
        <f>Data!T171</f>
        <v>0</v>
      </c>
      <c r="S171" s="20">
        <f>Data!U171</f>
        <v>0</v>
      </c>
      <c r="T171" s="20">
        <f>Data!V171</f>
        <v>0</v>
      </c>
      <c r="U171" s="20">
        <f>Data!W171</f>
        <v>0</v>
      </c>
      <c r="V171" s="20">
        <f>Data!X171</f>
        <v>0</v>
      </c>
      <c r="W171" s="20">
        <f>Data!Y171</f>
        <v>0</v>
      </c>
      <c r="X171" s="20">
        <f>Data!Z171</f>
        <v>0</v>
      </c>
      <c r="Y171" s="22">
        <f>Data!AL171</f>
        <v>0</v>
      </c>
      <c r="Z171" s="20" t="str">
        <f>Data!AC171</f>
        <v>Engine RPM</v>
      </c>
      <c r="AA171" s="20" t="str">
        <f>Data!AE171</f>
        <v/>
      </c>
      <c r="AB171" s="20">
        <f>Data!AG171</f>
        <v>0</v>
      </c>
      <c r="AC171" s="20" t="str">
        <f>CONCATENATE(Data!AI171," ",Data!AJ171)</f>
        <v>781.75 RPM</v>
      </c>
    </row>
    <row r="172" spans="1:29" ht="15">
      <c r="A172" s="20" t="str">
        <f>Data!A172</f>
        <v>デモ機</v>
      </c>
      <c r="B172" s="20" t="str">
        <f>Data!C172</f>
        <v>Entire Organization</v>
      </c>
      <c r="C172" s="20" t="str">
        <f>IF(Data!E172=0,"",Data!E172)</f>
        <v/>
      </c>
      <c r="D172" s="26">
        <f t="shared" si="2"/>
        <v>42065.871388888889</v>
      </c>
      <c r="E172" s="27">
        <f>Data!F172</f>
        <v>42065.871388888889</v>
      </c>
      <c r="F172" s="20" t="str">
        <f>Data!G172</f>
        <v>GpsRecord</v>
      </c>
      <c r="G172" s="20">
        <f>Data!H172</f>
        <v>0</v>
      </c>
      <c r="H172" s="20">
        <f>Data!I172</f>
        <v>139.41081</v>
      </c>
      <c r="I172" s="20">
        <f>Data!J172</f>
        <v>35.578139999999998</v>
      </c>
      <c r="J172" s="21" t="str">
        <f>IF(Data!K172=0,"",Data!K172)</f>
        <v>日本, 東京都町田市 県道57号線</v>
      </c>
      <c r="K172" s="22">
        <f>Data!L172</f>
        <v>0</v>
      </c>
      <c r="L172" s="21" t="str">
        <f>IF(Data!N172=0,"",Data!N172)</f>
        <v>CurveSpeed</v>
      </c>
      <c r="M172" s="20" t="b">
        <f>Data!O172</f>
        <v>1</v>
      </c>
      <c r="N172" s="20" t="b">
        <f>Data!P172</f>
        <v>0</v>
      </c>
      <c r="O172" s="20" t="b">
        <f>Data!Q172</f>
        <v>0</v>
      </c>
      <c r="P172" s="20" t="b">
        <f>Data!R172</f>
        <v>0</v>
      </c>
      <c r="Q172" s="20" t="b">
        <f>Data!S172</f>
        <v>0</v>
      </c>
      <c r="R172" s="20" t="b">
        <f>Data!T172</f>
        <v>0</v>
      </c>
      <c r="S172" s="20" t="b">
        <f>Data!U172</f>
        <v>0</v>
      </c>
      <c r="T172" s="20" t="b">
        <f>Data!V172</f>
        <v>0</v>
      </c>
      <c r="U172" s="20" t="b">
        <f>Data!W172</f>
        <v>0</v>
      </c>
      <c r="V172" s="20" t="b">
        <f>Data!X172</f>
        <v>1</v>
      </c>
      <c r="W172" s="20" t="b">
        <f>Data!Y172</f>
        <v>1</v>
      </c>
      <c r="X172" s="20">
        <f>Data!Z172</f>
        <v>0</v>
      </c>
      <c r="Y172" s="22">
        <f>Data!AL172</f>
        <v>0</v>
      </c>
      <c r="Z172" s="20">
        <f>Data!AC172</f>
        <v>0</v>
      </c>
      <c r="AA172" s="20">
        <f>Data!AE172</f>
        <v>0</v>
      </c>
      <c r="AB172" s="20">
        <f>Data!AG172</f>
        <v>0</v>
      </c>
      <c r="AC172" s="20" t="str">
        <f>CONCATENATE(Data!AI172," ",Data!AJ172)</f>
        <v xml:space="preserve"> </v>
      </c>
    </row>
    <row r="173" spans="1:29" ht="15">
      <c r="A173" s="20" t="str">
        <f>Data!A173</f>
        <v>デモ機</v>
      </c>
      <c r="B173" s="20" t="str">
        <f>Data!C173</f>
        <v>Entire Organization</v>
      </c>
      <c r="C173" s="20" t="str">
        <f>IF(Data!E173=0,"",Data!E173)</f>
        <v/>
      </c>
      <c r="D173" s="26">
        <f t="shared" si="2"/>
        <v>42065.871389039348</v>
      </c>
      <c r="E173" s="27">
        <f>Data!F173</f>
        <v>42065.871389039348</v>
      </c>
      <c r="F173" s="20" t="str">
        <f>Data!G173</f>
        <v>EngineStatusRecord</v>
      </c>
      <c r="G173" s="20">
        <f>Data!H173</f>
        <v>0</v>
      </c>
      <c r="H173" s="20">
        <f>Data!I173</f>
        <v>0</v>
      </c>
      <c r="I173" s="20">
        <f>Data!J173</f>
        <v>0</v>
      </c>
      <c r="J173" s="21" t="str">
        <f>IF(Data!K173=0,"",Data!K173)</f>
        <v/>
      </c>
      <c r="K173" s="22">
        <f>Data!L173</f>
        <v>0</v>
      </c>
      <c r="L173" s="21" t="str">
        <f>IF(Data!N173=0,"",Data!N173)</f>
        <v/>
      </c>
      <c r="M173" s="20">
        <f>Data!O173</f>
        <v>0</v>
      </c>
      <c r="N173" s="20">
        <f>Data!P173</f>
        <v>0</v>
      </c>
      <c r="O173" s="20">
        <f>Data!Q173</f>
        <v>0</v>
      </c>
      <c r="P173" s="20">
        <f>Data!R173</f>
        <v>0</v>
      </c>
      <c r="Q173" s="20">
        <f>Data!S173</f>
        <v>0</v>
      </c>
      <c r="R173" s="20">
        <f>Data!T173</f>
        <v>0</v>
      </c>
      <c r="S173" s="20">
        <f>Data!U173</f>
        <v>0</v>
      </c>
      <c r="T173" s="20">
        <f>Data!V173</f>
        <v>0</v>
      </c>
      <c r="U173" s="20">
        <f>Data!W173</f>
        <v>0</v>
      </c>
      <c r="V173" s="20">
        <f>Data!X173</f>
        <v>0</v>
      </c>
      <c r="W173" s="20">
        <f>Data!Y173</f>
        <v>0</v>
      </c>
      <c r="X173" s="20">
        <f>Data!Z173</f>
        <v>0</v>
      </c>
      <c r="Y173" s="22">
        <f>Data!AL173</f>
        <v>0</v>
      </c>
      <c r="Z173" s="20" t="str">
        <f>Data!AC173</f>
        <v>Engine RPM</v>
      </c>
      <c r="AA173" s="20" t="str">
        <f>Data!AE173</f>
        <v/>
      </c>
      <c r="AB173" s="20">
        <f>Data!AG173</f>
        <v>0</v>
      </c>
      <c r="AC173" s="20" t="str">
        <f>CONCATENATE(Data!AI173," ",Data!AJ173)</f>
        <v>1575.75 RPM</v>
      </c>
    </row>
    <row r="174" spans="1:29" ht="15">
      <c r="A174" s="20" t="str">
        <f>Data!A174</f>
        <v>デモ機</v>
      </c>
      <c r="B174" s="20" t="str">
        <f>Data!C174</f>
        <v>Entire Organization</v>
      </c>
      <c r="C174" s="20" t="str">
        <f>IF(Data!E174=0,"",Data!E174)</f>
        <v/>
      </c>
      <c r="D174" s="26">
        <f t="shared" si="2"/>
        <v>42065.871400462966</v>
      </c>
      <c r="E174" s="27">
        <f>Data!F174</f>
        <v>42065.871400462966</v>
      </c>
      <c r="F174" s="20" t="str">
        <f>Data!G174</f>
        <v>GpsRecord</v>
      </c>
      <c r="G174" s="20">
        <f>Data!H174</f>
        <v>7</v>
      </c>
      <c r="H174" s="20">
        <f>Data!I174</f>
        <v>139.41084000000001</v>
      </c>
      <c r="I174" s="20">
        <f>Data!J174</f>
        <v>35.578110000000002</v>
      </c>
      <c r="J174" s="21" t="str">
        <f>IF(Data!K174=0,"",Data!K174)</f>
        <v>日本, 東京都町田市 県道57号線</v>
      </c>
      <c r="K174" s="22">
        <f>Data!L174</f>
        <v>0</v>
      </c>
      <c r="L174" s="21" t="str">
        <f>IF(Data!N174=0,"",Data!N174)</f>
        <v>CurveZeroSpeed</v>
      </c>
      <c r="M174" s="20" t="b">
        <f>Data!O174</f>
        <v>1</v>
      </c>
      <c r="N174" s="20" t="b">
        <f>Data!P174</f>
        <v>0</v>
      </c>
      <c r="O174" s="20" t="b">
        <f>Data!Q174</f>
        <v>0</v>
      </c>
      <c r="P174" s="20" t="b">
        <f>Data!R174</f>
        <v>0</v>
      </c>
      <c r="Q174" s="20" t="b">
        <f>Data!S174</f>
        <v>0</v>
      </c>
      <c r="R174" s="20" t="b">
        <f>Data!T174</f>
        <v>0</v>
      </c>
      <c r="S174" s="20" t="b">
        <f>Data!U174</f>
        <v>0</v>
      </c>
      <c r="T174" s="20" t="b">
        <f>Data!V174</f>
        <v>0</v>
      </c>
      <c r="U174" s="20" t="b">
        <f>Data!W174</f>
        <v>0</v>
      </c>
      <c r="V174" s="20" t="b">
        <f>Data!X174</f>
        <v>1</v>
      </c>
      <c r="W174" s="20" t="b">
        <f>Data!Y174</f>
        <v>1</v>
      </c>
      <c r="X174" s="20">
        <f>Data!Z174</f>
        <v>0</v>
      </c>
      <c r="Y174" s="22">
        <f>Data!AL174</f>
        <v>0</v>
      </c>
      <c r="Z174" s="20">
        <f>Data!AC174</f>
        <v>0</v>
      </c>
      <c r="AA174" s="20">
        <f>Data!AE174</f>
        <v>0</v>
      </c>
      <c r="AB174" s="20">
        <f>Data!AG174</f>
        <v>0</v>
      </c>
      <c r="AC174" s="20" t="str">
        <f>CONCATENATE(Data!AI174," ",Data!AJ174)</f>
        <v xml:space="preserve"> </v>
      </c>
    </row>
    <row r="175" spans="1:29" ht="15">
      <c r="A175" s="20" t="str">
        <f>Data!A175</f>
        <v>デモ機</v>
      </c>
      <c r="B175" s="20" t="str">
        <f>Data!C175</f>
        <v>Entire Organization</v>
      </c>
      <c r="C175" s="20" t="str">
        <f>IF(Data!E175=0,"",Data!E175)</f>
        <v/>
      </c>
      <c r="D175" s="26">
        <f t="shared" si="2"/>
        <v>42065.871423611112</v>
      </c>
      <c r="E175" s="27">
        <f>Data!F175</f>
        <v>42065.871423611112</v>
      </c>
      <c r="F175" s="20" t="str">
        <f>Data!G175</f>
        <v>GpsRecord</v>
      </c>
      <c r="G175" s="20">
        <f>Data!H175</f>
        <v>12</v>
      </c>
      <c r="H175" s="20">
        <f>Data!I175</f>
        <v>139.41086999999999</v>
      </c>
      <c r="I175" s="20">
        <f>Data!J175</f>
        <v>35.578139999999998</v>
      </c>
      <c r="J175" s="21" t="str">
        <f>IF(Data!K175=0,"",Data!K175)</f>
        <v>日本, 東京都町田市 県道57号線</v>
      </c>
      <c r="K175" s="22">
        <f>Data!L175</f>
        <v>0</v>
      </c>
      <c r="L175" s="21" t="str">
        <f>IF(Data!N175=0,"",Data!N175)</f>
        <v>CurveTimeOut</v>
      </c>
      <c r="M175" s="20" t="b">
        <f>Data!O175</f>
        <v>1</v>
      </c>
      <c r="N175" s="20" t="b">
        <f>Data!P175</f>
        <v>0</v>
      </c>
      <c r="O175" s="20" t="b">
        <f>Data!Q175</f>
        <v>0</v>
      </c>
      <c r="P175" s="20" t="b">
        <f>Data!R175</f>
        <v>0</v>
      </c>
      <c r="Q175" s="20" t="b">
        <f>Data!S175</f>
        <v>0</v>
      </c>
      <c r="R175" s="20" t="b">
        <f>Data!T175</f>
        <v>0</v>
      </c>
      <c r="S175" s="20" t="b">
        <f>Data!U175</f>
        <v>0</v>
      </c>
      <c r="T175" s="20" t="b">
        <f>Data!V175</f>
        <v>0</v>
      </c>
      <c r="U175" s="20" t="b">
        <f>Data!W175</f>
        <v>0</v>
      </c>
      <c r="V175" s="20" t="b">
        <f>Data!X175</f>
        <v>1</v>
      </c>
      <c r="W175" s="20" t="b">
        <f>Data!Y175</f>
        <v>1</v>
      </c>
      <c r="X175" s="20">
        <f>Data!Z175</f>
        <v>0</v>
      </c>
      <c r="Y175" s="22">
        <f>Data!AL175</f>
        <v>0</v>
      </c>
      <c r="Z175" s="20">
        <f>Data!AC175</f>
        <v>0</v>
      </c>
      <c r="AA175" s="20">
        <f>Data!AE175</f>
        <v>0</v>
      </c>
      <c r="AB175" s="20">
        <f>Data!AG175</f>
        <v>0</v>
      </c>
      <c r="AC175" s="20" t="str">
        <f>CONCATENATE(Data!AI175," ",Data!AJ175)</f>
        <v xml:space="preserve"> </v>
      </c>
    </row>
    <row r="176" spans="1:29" ht="15">
      <c r="A176" s="20" t="str">
        <f>Data!A176</f>
        <v>デモ機</v>
      </c>
      <c r="B176" s="20" t="str">
        <f>Data!C176</f>
        <v>Entire Organization</v>
      </c>
      <c r="C176" s="20" t="str">
        <f>IF(Data!E176=0,"",Data!E176)</f>
        <v/>
      </c>
      <c r="D176" s="26">
        <f t="shared" si="2"/>
        <v>42065.871435648151</v>
      </c>
      <c r="E176" s="27">
        <f>Data!F176</f>
        <v>42065.871435648151</v>
      </c>
      <c r="F176" s="20" t="str">
        <f>Data!G176</f>
        <v>DebugRecord</v>
      </c>
      <c r="G176" s="20">
        <f>Data!H176</f>
        <v>0</v>
      </c>
      <c r="H176" s="20">
        <f>Data!I176</f>
        <v>0</v>
      </c>
      <c r="I176" s="20">
        <f>Data!J176</f>
        <v>0</v>
      </c>
      <c r="J176" s="21" t="str">
        <f>IF(Data!K176=0,"",Data!K176)</f>
        <v/>
      </c>
      <c r="K176" s="22">
        <f>Data!L176</f>
        <v>0</v>
      </c>
      <c r="L176" s="21" t="str">
        <f>IF(Data!N176=0,"",Data!N176)</f>
        <v>InvalidFuelConsumptionDetected</v>
      </c>
      <c r="M176" s="20">
        <f>Data!O176</f>
        <v>0</v>
      </c>
      <c r="N176" s="20">
        <f>Data!P176</f>
        <v>0</v>
      </c>
      <c r="O176" s="20">
        <f>Data!Q176</f>
        <v>0</v>
      </c>
      <c r="P176" s="20">
        <f>Data!R176</f>
        <v>0</v>
      </c>
      <c r="Q176" s="20">
        <f>Data!S176</f>
        <v>0</v>
      </c>
      <c r="R176" s="20">
        <f>Data!T176</f>
        <v>0</v>
      </c>
      <c r="S176" s="20">
        <f>Data!U176</f>
        <v>0</v>
      </c>
      <c r="T176" s="20">
        <f>Data!V176</f>
        <v>0</v>
      </c>
      <c r="U176" s="20">
        <f>Data!W176</f>
        <v>0</v>
      </c>
      <c r="V176" s="20">
        <f>Data!X176</f>
        <v>0</v>
      </c>
      <c r="W176" s="20">
        <f>Data!Y176</f>
        <v>0</v>
      </c>
      <c r="X176" s="20">
        <f>Data!Z176</f>
        <v>0</v>
      </c>
      <c r="Y176" s="22" t="str">
        <f>Data!AL176</f>
        <v>060000000000000000000000000000</v>
      </c>
      <c r="Z176" s="20">
        <f>Data!AC176</f>
        <v>0</v>
      </c>
      <c r="AA176" s="20">
        <f>Data!AE176</f>
        <v>0</v>
      </c>
      <c r="AB176" s="20">
        <f>Data!AG176</f>
        <v>0</v>
      </c>
      <c r="AC176" s="20" t="str">
        <f>CONCATENATE(Data!AI176," ",Data!AJ176)</f>
        <v xml:space="preserve"> </v>
      </c>
    </row>
    <row r="177" spans="1:29" ht="15">
      <c r="A177" s="20" t="str">
        <f>Data!A177</f>
        <v>デモ機</v>
      </c>
      <c r="B177" s="20" t="str">
        <f>Data!C177</f>
        <v>Entire Organization</v>
      </c>
      <c r="C177" s="20" t="str">
        <f>IF(Data!E177=0,"",Data!E177)</f>
        <v/>
      </c>
      <c r="D177" s="26">
        <f t="shared" si="2"/>
        <v>42065.871469907404</v>
      </c>
      <c r="E177" s="27">
        <f>Data!F177</f>
        <v>42065.871469907404</v>
      </c>
      <c r="F177" s="20" t="str">
        <f>Data!G177</f>
        <v>GpsRecord</v>
      </c>
      <c r="G177" s="20">
        <f>Data!H177</f>
        <v>20</v>
      </c>
      <c r="H177" s="20">
        <f>Data!I177</f>
        <v>139.41079999999999</v>
      </c>
      <c r="I177" s="20">
        <f>Data!J177</f>
        <v>35.578290000000003</v>
      </c>
      <c r="J177" s="21" t="str">
        <f>IF(Data!K177=0,"",Data!K177)</f>
        <v>日本, 東京都町田市 町田街道</v>
      </c>
      <c r="K177" s="22">
        <f>Data!L177</f>
        <v>0</v>
      </c>
      <c r="L177" s="21" t="str">
        <f>IF(Data!N177=0,"",Data!N177)</f>
        <v>CurveBased</v>
      </c>
      <c r="M177" s="20" t="b">
        <f>Data!O177</f>
        <v>1</v>
      </c>
      <c r="N177" s="20" t="b">
        <f>Data!P177</f>
        <v>0</v>
      </c>
      <c r="O177" s="20" t="b">
        <f>Data!Q177</f>
        <v>0</v>
      </c>
      <c r="P177" s="20" t="b">
        <f>Data!R177</f>
        <v>0</v>
      </c>
      <c r="Q177" s="20" t="b">
        <f>Data!S177</f>
        <v>0</v>
      </c>
      <c r="R177" s="20" t="b">
        <f>Data!T177</f>
        <v>0</v>
      </c>
      <c r="S177" s="20" t="b">
        <f>Data!U177</f>
        <v>0</v>
      </c>
      <c r="T177" s="20" t="b">
        <f>Data!V177</f>
        <v>0</v>
      </c>
      <c r="U177" s="20" t="b">
        <f>Data!W177</f>
        <v>0</v>
      </c>
      <c r="V177" s="20" t="b">
        <f>Data!X177</f>
        <v>1</v>
      </c>
      <c r="W177" s="20" t="b">
        <f>Data!Y177</f>
        <v>1</v>
      </c>
      <c r="X177" s="20">
        <f>Data!Z177</f>
        <v>0</v>
      </c>
      <c r="Y177" s="22">
        <f>Data!AL177</f>
        <v>0</v>
      </c>
      <c r="Z177" s="20">
        <f>Data!AC177</f>
        <v>0</v>
      </c>
      <c r="AA177" s="20">
        <f>Data!AE177</f>
        <v>0</v>
      </c>
      <c r="AB177" s="20">
        <f>Data!AG177</f>
        <v>0</v>
      </c>
      <c r="AC177" s="20" t="str">
        <f>CONCATENATE(Data!AI177," ",Data!AJ177)</f>
        <v xml:space="preserve"> </v>
      </c>
    </row>
    <row r="178" spans="1:29" ht="15">
      <c r="A178" s="20" t="str">
        <f>Data!A178</f>
        <v>デモ機</v>
      </c>
      <c r="B178" s="20" t="str">
        <f>Data!C178</f>
        <v>Entire Organization</v>
      </c>
      <c r="C178" s="20" t="str">
        <f>IF(Data!E178=0,"",Data!E178)</f>
        <v/>
      </c>
      <c r="D178" s="26">
        <f t="shared" si="2"/>
        <v>42065.871504664348</v>
      </c>
      <c r="E178" s="27">
        <f>Data!F178</f>
        <v>42065.871504664348</v>
      </c>
      <c r="F178" s="20" t="str">
        <f>Data!G178</f>
        <v>EngineStatusRecord</v>
      </c>
      <c r="G178" s="20">
        <f>Data!H178</f>
        <v>0</v>
      </c>
      <c r="H178" s="20">
        <f>Data!I178</f>
        <v>0</v>
      </c>
      <c r="I178" s="20">
        <f>Data!J178</f>
        <v>0</v>
      </c>
      <c r="J178" s="21" t="str">
        <f>IF(Data!K178=0,"",Data!K178)</f>
        <v/>
      </c>
      <c r="K178" s="22">
        <f>Data!L178</f>
        <v>0</v>
      </c>
      <c r="L178" s="21" t="str">
        <f>IF(Data!N178=0,"",Data!N178)</f>
        <v/>
      </c>
      <c r="M178" s="20">
        <f>Data!O178</f>
        <v>0</v>
      </c>
      <c r="N178" s="20">
        <f>Data!P178</f>
        <v>0</v>
      </c>
      <c r="O178" s="20">
        <f>Data!Q178</f>
        <v>0</v>
      </c>
      <c r="P178" s="20">
        <f>Data!R178</f>
        <v>0</v>
      </c>
      <c r="Q178" s="20">
        <f>Data!S178</f>
        <v>0</v>
      </c>
      <c r="R178" s="20">
        <f>Data!T178</f>
        <v>0</v>
      </c>
      <c r="S178" s="20">
        <f>Data!U178</f>
        <v>0</v>
      </c>
      <c r="T178" s="20">
        <f>Data!V178</f>
        <v>0</v>
      </c>
      <c r="U178" s="20">
        <f>Data!W178</f>
        <v>0</v>
      </c>
      <c r="V178" s="20">
        <f>Data!X178</f>
        <v>0</v>
      </c>
      <c r="W178" s="20">
        <f>Data!Y178</f>
        <v>0</v>
      </c>
      <c r="X178" s="20">
        <f>Data!Z178</f>
        <v>0</v>
      </c>
      <c r="Y178" s="22">
        <f>Data!AL178</f>
        <v>0</v>
      </c>
      <c r="Z178" s="20" t="str">
        <f>Data!AC178</f>
        <v>Engine RPM</v>
      </c>
      <c r="AA178" s="20" t="str">
        <f>Data!AE178</f>
        <v/>
      </c>
      <c r="AB178" s="20">
        <f>Data!AG178</f>
        <v>0</v>
      </c>
      <c r="AC178" s="20" t="str">
        <f>CONCATENATE(Data!AI178," ",Data!AJ178)</f>
        <v>2101.25 RPM</v>
      </c>
    </row>
    <row r="179" spans="1:29" ht="15">
      <c r="A179" s="20" t="str">
        <f>Data!A179</f>
        <v>デモ機</v>
      </c>
      <c r="B179" s="20" t="str">
        <f>Data!C179</f>
        <v>Entire Organization</v>
      </c>
      <c r="C179" s="20" t="str">
        <f>IF(Data!E179=0,"",Data!E179)</f>
        <v/>
      </c>
      <c r="D179" s="26">
        <f t="shared" si="2"/>
        <v>42065.871539386571</v>
      </c>
      <c r="E179" s="27">
        <f>Data!F179</f>
        <v>42065.871539386571</v>
      </c>
      <c r="F179" s="20" t="str">
        <f>Data!G179</f>
        <v>EngineStatusRecord</v>
      </c>
      <c r="G179" s="20">
        <f>Data!H179</f>
        <v>0</v>
      </c>
      <c r="H179" s="20">
        <f>Data!I179</f>
        <v>0</v>
      </c>
      <c r="I179" s="20">
        <f>Data!J179</f>
        <v>0</v>
      </c>
      <c r="J179" s="21" t="str">
        <f>IF(Data!K179=0,"",Data!K179)</f>
        <v/>
      </c>
      <c r="K179" s="22">
        <f>Data!L179</f>
        <v>0</v>
      </c>
      <c r="L179" s="21" t="str">
        <f>IF(Data!N179=0,"",Data!N179)</f>
        <v/>
      </c>
      <c r="M179" s="20">
        <f>Data!O179</f>
        <v>0</v>
      </c>
      <c r="N179" s="20">
        <f>Data!P179</f>
        <v>0</v>
      </c>
      <c r="O179" s="20">
        <f>Data!Q179</f>
        <v>0</v>
      </c>
      <c r="P179" s="20">
        <f>Data!R179</f>
        <v>0</v>
      </c>
      <c r="Q179" s="20">
        <f>Data!S179</f>
        <v>0</v>
      </c>
      <c r="R179" s="20">
        <f>Data!T179</f>
        <v>0</v>
      </c>
      <c r="S179" s="20">
        <f>Data!U179</f>
        <v>0</v>
      </c>
      <c r="T179" s="20">
        <f>Data!V179</f>
        <v>0</v>
      </c>
      <c r="U179" s="20">
        <f>Data!W179</f>
        <v>0</v>
      </c>
      <c r="V179" s="20">
        <f>Data!X179</f>
        <v>0</v>
      </c>
      <c r="W179" s="20">
        <f>Data!Y179</f>
        <v>0</v>
      </c>
      <c r="X179" s="20">
        <f>Data!Z179</f>
        <v>0</v>
      </c>
      <c r="Y179" s="22">
        <f>Data!AL179</f>
        <v>0</v>
      </c>
      <c r="Z179" s="20" t="str">
        <f>Data!AC179</f>
        <v>Engine RPM</v>
      </c>
      <c r="AA179" s="20" t="str">
        <f>Data!AE179</f>
        <v/>
      </c>
      <c r="AB179" s="20">
        <f>Data!AG179</f>
        <v>0</v>
      </c>
      <c r="AC179" s="20" t="str">
        <f>CONCATENATE(Data!AI179," ",Data!AJ179)</f>
        <v>1468 RPM</v>
      </c>
    </row>
    <row r="180" spans="1:29" ht="15">
      <c r="A180" s="20" t="str">
        <f>Data!A180</f>
        <v>デモ機</v>
      </c>
      <c r="B180" s="20" t="str">
        <f>Data!C180</f>
        <v>Entire Organization</v>
      </c>
      <c r="C180" s="20" t="str">
        <f>IF(Data!E180=0,"",Data!E180)</f>
        <v/>
      </c>
      <c r="D180" s="26">
        <f t="shared" si="2"/>
        <v>42065.871631944443</v>
      </c>
      <c r="E180" s="27">
        <f>Data!F180</f>
        <v>42065.871631944443</v>
      </c>
      <c r="F180" s="20" t="str">
        <f>Data!G180</f>
        <v>GpsRecord</v>
      </c>
      <c r="G180" s="20">
        <f>Data!H180</f>
        <v>44</v>
      </c>
      <c r="H180" s="20">
        <f>Data!I180</f>
        <v>139.40944999999999</v>
      </c>
      <c r="I180" s="20">
        <f>Data!J180</f>
        <v>35.578749999999999</v>
      </c>
      <c r="J180" s="21" t="str">
        <f>IF(Data!K180=0,"",Data!K180)</f>
        <v>日本, 〒194-0034 東京都町田市根岸町 町田街道</v>
      </c>
      <c r="K180" s="22">
        <f>Data!L180</f>
        <v>0</v>
      </c>
      <c r="L180" s="21" t="str">
        <f>IF(Data!N180=0,"",Data!N180)</f>
        <v>CurveBased</v>
      </c>
      <c r="M180" s="20" t="b">
        <f>Data!O180</f>
        <v>1</v>
      </c>
      <c r="N180" s="20" t="b">
        <f>Data!P180</f>
        <v>0</v>
      </c>
      <c r="O180" s="20" t="b">
        <f>Data!Q180</f>
        <v>0</v>
      </c>
      <c r="P180" s="20" t="b">
        <f>Data!R180</f>
        <v>0</v>
      </c>
      <c r="Q180" s="20" t="b">
        <f>Data!S180</f>
        <v>0</v>
      </c>
      <c r="R180" s="20" t="b">
        <f>Data!T180</f>
        <v>0</v>
      </c>
      <c r="S180" s="20" t="b">
        <f>Data!U180</f>
        <v>0</v>
      </c>
      <c r="T180" s="20" t="b">
        <f>Data!V180</f>
        <v>0</v>
      </c>
      <c r="U180" s="20" t="b">
        <f>Data!W180</f>
        <v>0</v>
      </c>
      <c r="V180" s="20" t="b">
        <f>Data!X180</f>
        <v>1</v>
      </c>
      <c r="W180" s="20" t="b">
        <f>Data!Y180</f>
        <v>1</v>
      </c>
      <c r="X180" s="20">
        <f>Data!Z180</f>
        <v>0</v>
      </c>
      <c r="Y180" s="22">
        <f>Data!AL180</f>
        <v>0</v>
      </c>
      <c r="Z180" s="20">
        <f>Data!AC180</f>
        <v>0</v>
      </c>
      <c r="AA180" s="20">
        <f>Data!AE180</f>
        <v>0</v>
      </c>
      <c r="AB180" s="20">
        <f>Data!AG180</f>
        <v>0</v>
      </c>
      <c r="AC180" s="20" t="str">
        <f>CONCATENATE(Data!AI180," ",Data!AJ180)</f>
        <v xml:space="preserve"> </v>
      </c>
    </row>
    <row r="181" spans="1:29" ht="15">
      <c r="A181" s="20" t="str">
        <f>Data!A181</f>
        <v>デモ機</v>
      </c>
      <c r="B181" s="20" t="str">
        <f>Data!C181</f>
        <v>Entire Organization</v>
      </c>
      <c r="C181" s="20" t="str">
        <f>IF(Data!E181=0,"",Data!E181)</f>
        <v/>
      </c>
      <c r="D181" s="26">
        <f t="shared" si="2"/>
        <v>42065.871898148151</v>
      </c>
      <c r="E181" s="27">
        <f>Data!F181</f>
        <v>42065.871898148151</v>
      </c>
      <c r="F181" s="20" t="str">
        <f>Data!G181</f>
        <v>GpsRecord</v>
      </c>
      <c r="G181" s="20">
        <f>Data!H181</f>
        <v>44</v>
      </c>
      <c r="H181" s="20">
        <f>Data!I181</f>
        <v>139.40672000000001</v>
      </c>
      <c r="I181" s="20">
        <f>Data!J181</f>
        <v>35.580240000000003</v>
      </c>
      <c r="J181" s="21" t="str">
        <f>IF(Data!K181=0,"",Data!K181)</f>
        <v>日本, 〒194-0214 東京都町田市矢部町 町田街道</v>
      </c>
      <c r="K181" s="22">
        <f>Data!L181</f>
        <v>0</v>
      </c>
      <c r="L181" s="21" t="str">
        <f>IF(Data!N181=0,"",Data!N181)</f>
        <v>CurveBased</v>
      </c>
      <c r="M181" s="20" t="b">
        <f>Data!O181</f>
        <v>1</v>
      </c>
      <c r="N181" s="20" t="b">
        <f>Data!P181</f>
        <v>0</v>
      </c>
      <c r="O181" s="20" t="b">
        <f>Data!Q181</f>
        <v>0</v>
      </c>
      <c r="P181" s="20" t="b">
        <f>Data!R181</f>
        <v>0</v>
      </c>
      <c r="Q181" s="20" t="b">
        <f>Data!S181</f>
        <v>0</v>
      </c>
      <c r="R181" s="20" t="b">
        <f>Data!T181</f>
        <v>0</v>
      </c>
      <c r="S181" s="20" t="b">
        <f>Data!U181</f>
        <v>0</v>
      </c>
      <c r="T181" s="20" t="b">
        <f>Data!V181</f>
        <v>0</v>
      </c>
      <c r="U181" s="20" t="b">
        <f>Data!W181</f>
        <v>0</v>
      </c>
      <c r="V181" s="20" t="b">
        <f>Data!X181</f>
        <v>1</v>
      </c>
      <c r="W181" s="20" t="b">
        <f>Data!Y181</f>
        <v>1</v>
      </c>
      <c r="X181" s="20">
        <f>Data!Z181</f>
        <v>0</v>
      </c>
      <c r="Y181" s="22">
        <f>Data!AL181</f>
        <v>0</v>
      </c>
      <c r="Z181" s="20">
        <f>Data!AC181</f>
        <v>0</v>
      </c>
      <c r="AA181" s="20">
        <f>Data!AE181</f>
        <v>0</v>
      </c>
      <c r="AB181" s="20">
        <f>Data!AG181</f>
        <v>0</v>
      </c>
      <c r="AC181" s="20" t="str">
        <f>CONCATENATE(Data!AI181," ",Data!AJ181)</f>
        <v xml:space="preserve"> </v>
      </c>
    </row>
    <row r="182" spans="1:29" ht="15">
      <c r="A182" s="20" t="str">
        <f>Data!A182</f>
        <v>デモ機</v>
      </c>
      <c r="B182" s="20" t="str">
        <f>Data!C182</f>
        <v>Entire Organization</v>
      </c>
      <c r="C182" s="20" t="str">
        <f>IF(Data!E182=0,"",Data!E182)</f>
        <v/>
      </c>
      <c r="D182" s="26">
        <f t="shared" si="2"/>
        <v>42065.872013888889</v>
      </c>
      <c r="E182" s="27">
        <f>Data!F182</f>
        <v>42065.872013888889</v>
      </c>
      <c r="F182" s="20" t="str">
        <f>Data!G182</f>
        <v>GpsRecord</v>
      </c>
      <c r="G182" s="20">
        <f>Data!H182</f>
        <v>48</v>
      </c>
      <c r="H182" s="20">
        <f>Data!I182</f>
        <v>139.40540999999999</v>
      </c>
      <c r="I182" s="20">
        <f>Data!J182</f>
        <v>35.580719999999999</v>
      </c>
      <c r="J182" s="21" t="str">
        <f>IF(Data!K182=0,"",Data!K182)</f>
        <v>日本, 東京都町田市 町田街道</v>
      </c>
      <c r="K182" s="22">
        <f>Data!L182</f>
        <v>0</v>
      </c>
      <c r="L182" s="21" t="str">
        <f>IF(Data!N182=0,"",Data!N182)</f>
        <v>CurveSpeed</v>
      </c>
      <c r="M182" s="20" t="b">
        <f>Data!O182</f>
        <v>1</v>
      </c>
      <c r="N182" s="20" t="b">
        <f>Data!P182</f>
        <v>0</v>
      </c>
      <c r="O182" s="20" t="b">
        <f>Data!Q182</f>
        <v>0</v>
      </c>
      <c r="P182" s="20" t="b">
        <f>Data!R182</f>
        <v>0</v>
      </c>
      <c r="Q182" s="20" t="b">
        <f>Data!S182</f>
        <v>0</v>
      </c>
      <c r="R182" s="20" t="b">
        <f>Data!T182</f>
        <v>0</v>
      </c>
      <c r="S182" s="20" t="b">
        <f>Data!U182</f>
        <v>0</v>
      </c>
      <c r="T182" s="20" t="b">
        <f>Data!V182</f>
        <v>0</v>
      </c>
      <c r="U182" s="20" t="b">
        <f>Data!W182</f>
        <v>0</v>
      </c>
      <c r="V182" s="20" t="b">
        <f>Data!X182</f>
        <v>1</v>
      </c>
      <c r="W182" s="20" t="b">
        <f>Data!Y182</f>
        <v>1</v>
      </c>
      <c r="X182" s="20">
        <f>Data!Z182</f>
        <v>0</v>
      </c>
      <c r="Y182" s="22">
        <f>Data!AL182</f>
        <v>0</v>
      </c>
      <c r="Z182" s="20">
        <f>Data!AC182</f>
        <v>0</v>
      </c>
      <c r="AA182" s="20">
        <f>Data!AE182</f>
        <v>0</v>
      </c>
      <c r="AB182" s="20">
        <f>Data!AG182</f>
        <v>0</v>
      </c>
      <c r="AC182" s="20" t="str">
        <f>CONCATENATE(Data!AI182," ",Data!AJ182)</f>
        <v xml:space="preserve"> </v>
      </c>
    </row>
    <row r="183" spans="1:29" ht="15">
      <c r="A183" s="20" t="str">
        <f>Data!A183</f>
        <v>デモ機</v>
      </c>
      <c r="B183" s="20" t="str">
        <f>Data!C183</f>
        <v>Entire Organization</v>
      </c>
      <c r="C183" s="20" t="str">
        <f>IF(Data!E183=0,"",Data!E183)</f>
        <v/>
      </c>
      <c r="D183" s="26">
        <f t="shared" si="2"/>
        <v>42065.872071759259</v>
      </c>
      <c r="E183" s="27">
        <f>Data!F183</f>
        <v>42065.872071759259</v>
      </c>
      <c r="F183" s="20" t="str">
        <f>Data!G183</f>
        <v>GpsRecord</v>
      </c>
      <c r="G183" s="20">
        <f>Data!H183</f>
        <v>37</v>
      </c>
      <c r="H183" s="20">
        <f>Data!I183</f>
        <v>139.40483</v>
      </c>
      <c r="I183" s="20">
        <f>Data!J183</f>
        <v>35.580930000000002</v>
      </c>
      <c r="J183" s="21" t="str">
        <f>IF(Data!K183=0,"",Data!K183)</f>
        <v>日本, 東京都町田市 町田街道</v>
      </c>
      <c r="K183" s="22">
        <f>Data!L183</f>
        <v>0</v>
      </c>
      <c r="L183" s="21" t="str">
        <f>IF(Data!N183=0,"",Data!N183)</f>
        <v>CurveBased</v>
      </c>
      <c r="M183" s="20" t="b">
        <f>Data!O183</f>
        <v>1</v>
      </c>
      <c r="N183" s="20" t="b">
        <f>Data!P183</f>
        <v>0</v>
      </c>
      <c r="O183" s="20" t="b">
        <f>Data!Q183</f>
        <v>0</v>
      </c>
      <c r="P183" s="20" t="b">
        <f>Data!R183</f>
        <v>0</v>
      </c>
      <c r="Q183" s="20" t="b">
        <f>Data!S183</f>
        <v>0</v>
      </c>
      <c r="R183" s="20" t="b">
        <f>Data!T183</f>
        <v>0</v>
      </c>
      <c r="S183" s="20" t="b">
        <f>Data!U183</f>
        <v>0</v>
      </c>
      <c r="T183" s="20" t="b">
        <f>Data!V183</f>
        <v>0</v>
      </c>
      <c r="U183" s="20" t="b">
        <f>Data!W183</f>
        <v>0</v>
      </c>
      <c r="V183" s="20" t="b">
        <f>Data!X183</f>
        <v>1</v>
      </c>
      <c r="W183" s="20" t="b">
        <f>Data!Y183</f>
        <v>1</v>
      </c>
      <c r="X183" s="20">
        <f>Data!Z183</f>
        <v>0</v>
      </c>
      <c r="Y183" s="22">
        <f>Data!AL183</f>
        <v>0</v>
      </c>
      <c r="Z183" s="20">
        <f>Data!AC183</f>
        <v>0</v>
      </c>
      <c r="AA183" s="20">
        <f>Data!AE183</f>
        <v>0</v>
      </c>
      <c r="AB183" s="20">
        <f>Data!AG183</f>
        <v>0</v>
      </c>
      <c r="AC183" s="20" t="str">
        <f>CONCATENATE(Data!AI183," ",Data!AJ183)</f>
        <v xml:space="preserve"> </v>
      </c>
    </row>
    <row r="184" spans="1:29" ht="15">
      <c r="A184" s="20" t="str">
        <f>Data!A184</f>
        <v>デモ機</v>
      </c>
      <c r="B184" s="20" t="str">
        <f>Data!C184</f>
        <v>Entire Organization</v>
      </c>
      <c r="C184" s="20" t="str">
        <f>IF(Data!E184=0,"",Data!E184)</f>
        <v/>
      </c>
      <c r="D184" s="26">
        <f t="shared" si="2"/>
        <v>42065.872187499997</v>
      </c>
      <c r="E184" s="27">
        <f>Data!F184</f>
        <v>42065.872187499997</v>
      </c>
      <c r="F184" s="20" t="str">
        <f>Data!G184</f>
        <v>GpsRecord</v>
      </c>
      <c r="G184" s="20">
        <f>Data!H184</f>
        <v>48</v>
      </c>
      <c r="H184" s="20">
        <f>Data!I184</f>
        <v>139.40415999999999</v>
      </c>
      <c r="I184" s="20">
        <f>Data!J184</f>
        <v>35.58193</v>
      </c>
      <c r="J184" s="21" t="str">
        <f>IF(Data!K184=0,"",Data!K184)</f>
        <v>日本, 〒194-0213 東京都町田市常盤町 町田街道</v>
      </c>
      <c r="K184" s="22">
        <f>Data!L184</f>
        <v>0</v>
      </c>
      <c r="L184" s="21" t="str">
        <f>IF(Data!N184=0,"",Data!N184)</f>
        <v>CurveSpeed</v>
      </c>
      <c r="M184" s="20" t="b">
        <f>Data!O184</f>
        <v>1</v>
      </c>
      <c r="N184" s="20" t="b">
        <f>Data!P184</f>
        <v>0</v>
      </c>
      <c r="O184" s="20" t="b">
        <f>Data!Q184</f>
        <v>0</v>
      </c>
      <c r="P184" s="20" t="b">
        <f>Data!R184</f>
        <v>0</v>
      </c>
      <c r="Q184" s="20" t="b">
        <f>Data!S184</f>
        <v>0</v>
      </c>
      <c r="R184" s="20" t="b">
        <f>Data!T184</f>
        <v>0</v>
      </c>
      <c r="S184" s="20" t="b">
        <f>Data!U184</f>
        <v>0</v>
      </c>
      <c r="T184" s="20" t="b">
        <f>Data!V184</f>
        <v>0</v>
      </c>
      <c r="U184" s="20" t="b">
        <f>Data!W184</f>
        <v>0</v>
      </c>
      <c r="V184" s="20" t="b">
        <f>Data!X184</f>
        <v>1</v>
      </c>
      <c r="W184" s="20" t="b">
        <f>Data!Y184</f>
        <v>1</v>
      </c>
      <c r="X184" s="20">
        <f>Data!Z184</f>
        <v>0</v>
      </c>
      <c r="Y184" s="22">
        <f>Data!AL184</f>
        <v>0</v>
      </c>
      <c r="Z184" s="20">
        <f>Data!AC184</f>
        <v>0</v>
      </c>
      <c r="AA184" s="20">
        <f>Data!AE184</f>
        <v>0</v>
      </c>
      <c r="AB184" s="20">
        <f>Data!AG184</f>
        <v>0</v>
      </c>
      <c r="AC184" s="20" t="str">
        <f>CONCATENATE(Data!AI184," ",Data!AJ184)</f>
        <v xml:space="preserve"> </v>
      </c>
    </row>
    <row r="185" spans="1:29" ht="15">
      <c r="A185" s="20" t="str">
        <f>Data!A185</f>
        <v>デモ機</v>
      </c>
      <c r="B185" s="20" t="str">
        <f>Data!C185</f>
        <v>Entire Organization</v>
      </c>
      <c r="C185" s="20" t="str">
        <f>IF(Data!E185=0,"",Data!E185)</f>
        <v/>
      </c>
      <c r="D185" s="26">
        <f t="shared" si="2"/>
        <v>42065.872314814813</v>
      </c>
      <c r="E185" s="27">
        <f>Data!F185</f>
        <v>42065.872314814813</v>
      </c>
      <c r="F185" s="20" t="str">
        <f>Data!G185</f>
        <v>GpsRecord</v>
      </c>
      <c r="G185" s="20">
        <f>Data!H185</f>
        <v>44</v>
      </c>
      <c r="H185" s="20">
        <f>Data!I185</f>
        <v>139.40341000000001</v>
      </c>
      <c r="I185" s="20">
        <f>Data!J185</f>
        <v>35.58305</v>
      </c>
      <c r="J185" s="21" t="str">
        <f>IF(Data!K185=0,"",Data!K185)</f>
        <v>日本, 〒194-0213 東京都町田市常盤町 町田街道</v>
      </c>
      <c r="K185" s="22">
        <f>Data!L185</f>
        <v>0</v>
      </c>
      <c r="L185" s="21" t="str">
        <f>IF(Data!N185=0,"",Data!N185)</f>
        <v>CurveBased</v>
      </c>
      <c r="M185" s="20" t="b">
        <f>Data!O185</f>
        <v>1</v>
      </c>
      <c r="N185" s="20" t="b">
        <f>Data!P185</f>
        <v>0</v>
      </c>
      <c r="O185" s="20" t="b">
        <f>Data!Q185</f>
        <v>0</v>
      </c>
      <c r="P185" s="20" t="b">
        <f>Data!R185</f>
        <v>0</v>
      </c>
      <c r="Q185" s="20" t="b">
        <f>Data!S185</f>
        <v>0</v>
      </c>
      <c r="R185" s="20" t="b">
        <f>Data!T185</f>
        <v>0</v>
      </c>
      <c r="S185" s="20" t="b">
        <f>Data!U185</f>
        <v>0</v>
      </c>
      <c r="T185" s="20" t="b">
        <f>Data!V185</f>
        <v>0</v>
      </c>
      <c r="U185" s="20" t="b">
        <f>Data!W185</f>
        <v>0</v>
      </c>
      <c r="V185" s="20" t="b">
        <f>Data!X185</f>
        <v>1</v>
      </c>
      <c r="W185" s="20" t="b">
        <f>Data!Y185</f>
        <v>1</v>
      </c>
      <c r="X185" s="20">
        <f>Data!Z185</f>
        <v>0</v>
      </c>
      <c r="Y185" s="22">
        <f>Data!AL185</f>
        <v>0</v>
      </c>
      <c r="Z185" s="20">
        <f>Data!AC185</f>
        <v>0</v>
      </c>
      <c r="AA185" s="20">
        <f>Data!AE185</f>
        <v>0</v>
      </c>
      <c r="AB185" s="20">
        <f>Data!AG185</f>
        <v>0</v>
      </c>
      <c r="AC185" s="20" t="str">
        <f>CONCATENATE(Data!AI185," ",Data!AJ185)</f>
        <v xml:space="preserve"> </v>
      </c>
    </row>
    <row r="186" spans="1:29" ht="15">
      <c r="A186" s="20" t="str">
        <f>Data!A186</f>
        <v>デモ機</v>
      </c>
      <c r="B186" s="20" t="str">
        <f>Data!C186</f>
        <v>Entire Organization</v>
      </c>
      <c r="C186" s="20" t="str">
        <f>IF(Data!E186=0,"",Data!E186)</f>
        <v/>
      </c>
      <c r="D186" s="26">
        <f t="shared" si="2"/>
        <v>42065.872442129628</v>
      </c>
      <c r="E186" s="27">
        <f>Data!F186</f>
        <v>42065.872442129628</v>
      </c>
      <c r="F186" s="20" t="str">
        <f>Data!G186</f>
        <v>GpsRecord</v>
      </c>
      <c r="G186" s="20">
        <f>Data!H186</f>
        <v>0</v>
      </c>
      <c r="H186" s="20">
        <f>Data!I186</f>
        <v>139.40291999999999</v>
      </c>
      <c r="I186" s="20">
        <f>Data!J186</f>
        <v>35.583460000000002</v>
      </c>
      <c r="J186" s="21" t="str">
        <f>IF(Data!K186=0,"",Data!K186)</f>
        <v>日本, 〒194-0213 東京都町田市常盤町 町田街道</v>
      </c>
      <c r="K186" s="22">
        <f>Data!L186</f>
        <v>0</v>
      </c>
      <c r="L186" s="21" t="str">
        <f>IF(Data!N186=0,"",Data!N186)</f>
        <v>CurveZeroSpeed</v>
      </c>
      <c r="M186" s="20" t="b">
        <f>Data!O186</f>
        <v>1</v>
      </c>
      <c r="N186" s="20" t="b">
        <f>Data!P186</f>
        <v>0</v>
      </c>
      <c r="O186" s="20" t="b">
        <f>Data!Q186</f>
        <v>0</v>
      </c>
      <c r="P186" s="20" t="b">
        <f>Data!R186</f>
        <v>0</v>
      </c>
      <c r="Q186" s="20" t="b">
        <f>Data!S186</f>
        <v>0</v>
      </c>
      <c r="R186" s="20" t="b">
        <f>Data!T186</f>
        <v>0</v>
      </c>
      <c r="S186" s="20" t="b">
        <f>Data!U186</f>
        <v>0</v>
      </c>
      <c r="T186" s="20" t="b">
        <f>Data!V186</f>
        <v>0</v>
      </c>
      <c r="U186" s="20" t="b">
        <f>Data!W186</f>
        <v>0</v>
      </c>
      <c r="V186" s="20" t="b">
        <f>Data!X186</f>
        <v>1</v>
      </c>
      <c r="W186" s="20" t="b">
        <f>Data!Y186</f>
        <v>1</v>
      </c>
      <c r="X186" s="20">
        <f>Data!Z186</f>
        <v>0</v>
      </c>
      <c r="Y186" s="22">
        <f>Data!AL186</f>
        <v>0</v>
      </c>
      <c r="Z186" s="20">
        <f>Data!AC186</f>
        <v>0</v>
      </c>
      <c r="AA186" s="20">
        <f>Data!AE186</f>
        <v>0</v>
      </c>
      <c r="AB186" s="20">
        <f>Data!AG186</f>
        <v>0</v>
      </c>
      <c r="AC186" s="20" t="str">
        <f>CONCATENATE(Data!AI186," ",Data!AJ186)</f>
        <v xml:space="preserve"> </v>
      </c>
    </row>
    <row r="187" spans="1:29" ht="15">
      <c r="A187" s="20" t="str">
        <f>Data!A187</f>
        <v>デモ機</v>
      </c>
      <c r="B187" s="20" t="str">
        <f>Data!C187</f>
        <v>Entire Organization</v>
      </c>
      <c r="C187" s="20" t="str">
        <f>IF(Data!E187=0,"",Data!E187)</f>
        <v/>
      </c>
      <c r="D187" s="26">
        <f t="shared" si="2"/>
        <v>42065.872569444444</v>
      </c>
      <c r="E187" s="27">
        <f>Data!F187</f>
        <v>42065.872569444444</v>
      </c>
      <c r="F187" s="20" t="str">
        <f>Data!G187</f>
        <v>GpsRecord</v>
      </c>
      <c r="G187" s="20">
        <f>Data!H187</f>
        <v>0</v>
      </c>
      <c r="H187" s="20">
        <f>Data!I187</f>
        <v>139.40291999999999</v>
      </c>
      <c r="I187" s="20">
        <f>Data!J187</f>
        <v>35.583460000000002</v>
      </c>
      <c r="J187" s="21" t="str">
        <f>IF(Data!K187=0,"",Data!K187)</f>
        <v>日本, 〒194-0213 東京都町田市常盤町 町田街道</v>
      </c>
      <c r="K187" s="22">
        <f>Data!L187</f>
        <v>0</v>
      </c>
      <c r="L187" s="21" t="str">
        <f>IF(Data!N187=0,"",Data!N187)</f>
        <v>CurveTimeOut</v>
      </c>
      <c r="M187" s="20" t="b">
        <f>Data!O187</f>
        <v>1</v>
      </c>
      <c r="N187" s="20" t="b">
        <f>Data!P187</f>
        <v>0</v>
      </c>
      <c r="O187" s="20" t="b">
        <f>Data!Q187</f>
        <v>0</v>
      </c>
      <c r="P187" s="20" t="b">
        <f>Data!R187</f>
        <v>0</v>
      </c>
      <c r="Q187" s="20" t="b">
        <f>Data!S187</f>
        <v>0</v>
      </c>
      <c r="R187" s="20" t="b">
        <f>Data!T187</f>
        <v>0</v>
      </c>
      <c r="S187" s="20" t="b">
        <f>Data!U187</f>
        <v>0</v>
      </c>
      <c r="T187" s="20" t="b">
        <f>Data!V187</f>
        <v>0</v>
      </c>
      <c r="U187" s="20" t="b">
        <f>Data!W187</f>
        <v>0</v>
      </c>
      <c r="V187" s="20" t="b">
        <f>Data!X187</f>
        <v>1</v>
      </c>
      <c r="W187" s="20" t="b">
        <f>Data!Y187</f>
        <v>1</v>
      </c>
      <c r="X187" s="20">
        <f>Data!Z187</f>
        <v>0</v>
      </c>
      <c r="Y187" s="22">
        <f>Data!AL187</f>
        <v>0</v>
      </c>
      <c r="Z187" s="20">
        <f>Data!AC187</f>
        <v>0</v>
      </c>
      <c r="AA187" s="20">
        <f>Data!AE187</f>
        <v>0</v>
      </c>
      <c r="AB187" s="20">
        <f>Data!AG187</f>
        <v>0</v>
      </c>
      <c r="AC187" s="20" t="str">
        <f>CONCATENATE(Data!AI187," ",Data!AJ187)</f>
        <v xml:space="preserve"> </v>
      </c>
    </row>
    <row r="188" spans="1:29" ht="15">
      <c r="A188" s="20" t="str">
        <f>Data!A188</f>
        <v>デモ機</v>
      </c>
      <c r="B188" s="20" t="str">
        <f>Data!C188</f>
        <v>Entire Organization</v>
      </c>
      <c r="C188" s="20" t="str">
        <f>IF(Data!E188=0,"",Data!E188)</f>
        <v/>
      </c>
      <c r="D188" s="26">
        <f t="shared" si="2"/>
        <v>42065.872806250001</v>
      </c>
      <c r="E188" s="27">
        <f>Data!F188</f>
        <v>42065.872806250001</v>
      </c>
      <c r="F188" s="20" t="str">
        <f>Data!G188</f>
        <v>EngineStatusRecord</v>
      </c>
      <c r="G188" s="20">
        <f>Data!H188</f>
        <v>0</v>
      </c>
      <c r="H188" s="20">
        <f>Data!I188</f>
        <v>0</v>
      </c>
      <c r="I188" s="20">
        <f>Data!J188</f>
        <v>0</v>
      </c>
      <c r="J188" s="21" t="str">
        <f>IF(Data!K188=0,"",Data!K188)</f>
        <v/>
      </c>
      <c r="K188" s="22">
        <f>Data!L188</f>
        <v>0</v>
      </c>
      <c r="L188" s="21" t="str">
        <f>IF(Data!N188=0,"",Data!N188)</f>
        <v/>
      </c>
      <c r="M188" s="20">
        <f>Data!O188</f>
        <v>0</v>
      </c>
      <c r="N188" s="20">
        <f>Data!P188</f>
        <v>0</v>
      </c>
      <c r="O188" s="20">
        <f>Data!Q188</f>
        <v>0</v>
      </c>
      <c r="P188" s="20">
        <f>Data!R188</f>
        <v>0</v>
      </c>
      <c r="Q188" s="20">
        <f>Data!S188</f>
        <v>0</v>
      </c>
      <c r="R188" s="20">
        <f>Data!T188</f>
        <v>0</v>
      </c>
      <c r="S188" s="20">
        <f>Data!U188</f>
        <v>0</v>
      </c>
      <c r="T188" s="20">
        <f>Data!V188</f>
        <v>0</v>
      </c>
      <c r="U188" s="20">
        <f>Data!W188</f>
        <v>0</v>
      </c>
      <c r="V188" s="20">
        <f>Data!X188</f>
        <v>0</v>
      </c>
      <c r="W188" s="20">
        <f>Data!Y188</f>
        <v>0</v>
      </c>
      <c r="X188" s="20">
        <f>Data!Z188</f>
        <v>0</v>
      </c>
      <c r="Y188" s="22">
        <f>Data!AL188</f>
        <v>0</v>
      </c>
      <c r="Z188" s="20" t="str">
        <f>Data!AC188</f>
        <v>Engine coolant temperature</v>
      </c>
      <c r="AA188" s="20" t="str">
        <f>Data!AE188</f>
        <v/>
      </c>
      <c r="AB188" s="20">
        <f>Data!AG188</f>
        <v>0</v>
      </c>
      <c r="AC188" s="20" t="str">
        <f>CONCATENATE(Data!AI188," ",Data!AJ188)</f>
        <v>60 C</v>
      </c>
    </row>
    <row r="189" spans="1:29" ht="15">
      <c r="A189" s="20" t="str">
        <f>Data!A189</f>
        <v>デモ機</v>
      </c>
      <c r="B189" s="20" t="str">
        <f>Data!C189</f>
        <v>Entire Organization</v>
      </c>
      <c r="C189" s="20" t="str">
        <f>IF(Data!E189=0,"",Data!E189)</f>
        <v/>
      </c>
      <c r="D189" s="26">
        <f t="shared" si="2"/>
        <v>42065.872835682872</v>
      </c>
      <c r="E189" s="27">
        <f>Data!F189</f>
        <v>42065.872835682872</v>
      </c>
      <c r="F189" s="20" t="str">
        <f>Data!G189</f>
        <v>EngineStatusRecord</v>
      </c>
      <c r="G189" s="20">
        <f>Data!H189</f>
        <v>0</v>
      </c>
      <c r="H189" s="20">
        <f>Data!I189</f>
        <v>0</v>
      </c>
      <c r="I189" s="20">
        <f>Data!J189</f>
        <v>0</v>
      </c>
      <c r="J189" s="21" t="str">
        <f>IF(Data!K189=0,"",Data!K189)</f>
        <v/>
      </c>
      <c r="K189" s="22">
        <f>Data!L189</f>
        <v>0</v>
      </c>
      <c r="L189" s="21" t="str">
        <f>IF(Data!N189=0,"",Data!N189)</f>
        <v/>
      </c>
      <c r="M189" s="20">
        <f>Data!O189</f>
        <v>0</v>
      </c>
      <c r="N189" s="20">
        <f>Data!P189</f>
        <v>0</v>
      </c>
      <c r="O189" s="20">
        <f>Data!Q189</f>
        <v>0</v>
      </c>
      <c r="P189" s="20">
        <f>Data!R189</f>
        <v>0</v>
      </c>
      <c r="Q189" s="20">
        <f>Data!S189</f>
        <v>0</v>
      </c>
      <c r="R189" s="20">
        <f>Data!T189</f>
        <v>0</v>
      </c>
      <c r="S189" s="20">
        <f>Data!U189</f>
        <v>0</v>
      </c>
      <c r="T189" s="20">
        <f>Data!V189</f>
        <v>0</v>
      </c>
      <c r="U189" s="20">
        <f>Data!W189</f>
        <v>0</v>
      </c>
      <c r="V189" s="20">
        <f>Data!X189</f>
        <v>0</v>
      </c>
      <c r="W189" s="20">
        <f>Data!Y189</f>
        <v>0</v>
      </c>
      <c r="X189" s="20">
        <f>Data!Z189</f>
        <v>0</v>
      </c>
      <c r="Y189" s="22">
        <f>Data!AL189</f>
        <v>0</v>
      </c>
      <c r="Z189" s="20" t="str">
        <f>Data!AC189</f>
        <v>Engine RPM</v>
      </c>
      <c r="AA189" s="20" t="str">
        <f>Data!AE189</f>
        <v/>
      </c>
      <c r="AB189" s="20">
        <f>Data!AG189</f>
        <v>0</v>
      </c>
      <c r="AC189" s="20" t="str">
        <f>CONCATENATE(Data!AI189," ",Data!AJ189)</f>
        <v>767.75 RPM</v>
      </c>
    </row>
    <row r="190" spans="1:29" ht="15">
      <c r="A190" s="20" t="str">
        <f>Data!A190</f>
        <v>デモ機</v>
      </c>
      <c r="B190" s="20" t="str">
        <f>Data!C190</f>
        <v>Entire Organization</v>
      </c>
      <c r="C190" s="20" t="str">
        <f>IF(Data!E190=0,"",Data!E190)</f>
        <v/>
      </c>
      <c r="D190" s="26">
        <f t="shared" si="2"/>
        <v>42065.872847222221</v>
      </c>
      <c r="E190" s="27">
        <f>Data!F190</f>
        <v>42065.872847222221</v>
      </c>
      <c r="F190" s="20" t="str">
        <f>Data!G190</f>
        <v>GpsRecord</v>
      </c>
      <c r="G190" s="20">
        <f>Data!H190</f>
        <v>1</v>
      </c>
      <c r="H190" s="20">
        <f>Data!I190</f>
        <v>139.40291999999999</v>
      </c>
      <c r="I190" s="20">
        <f>Data!J190</f>
        <v>35.583489999999998</v>
      </c>
      <c r="J190" s="21" t="str">
        <f>IF(Data!K190=0,"",Data!K190)</f>
        <v>日本, 〒194-0213 東京都町田市常盤町 町田街道</v>
      </c>
      <c r="K190" s="22">
        <f>Data!L190</f>
        <v>0</v>
      </c>
      <c r="L190" s="21" t="str">
        <f>IF(Data!N190=0,"",Data!N190)</f>
        <v>CurveZeroSpeed</v>
      </c>
      <c r="M190" s="20" t="b">
        <f>Data!O190</f>
        <v>1</v>
      </c>
      <c r="N190" s="20" t="b">
        <f>Data!P190</f>
        <v>0</v>
      </c>
      <c r="O190" s="20" t="b">
        <f>Data!Q190</f>
        <v>0</v>
      </c>
      <c r="P190" s="20" t="b">
        <f>Data!R190</f>
        <v>0</v>
      </c>
      <c r="Q190" s="20" t="b">
        <f>Data!S190</f>
        <v>0</v>
      </c>
      <c r="R190" s="20" t="b">
        <f>Data!T190</f>
        <v>0</v>
      </c>
      <c r="S190" s="20" t="b">
        <f>Data!U190</f>
        <v>0</v>
      </c>
      <c r="T190" s="20" t="b">
        <f>Data!V190</f>
        <v>0</v>
      </c>
      <c r="U190" s="20" t="b">
        <f>Data!W190</f>
        <v>0</v>
      </c>
      <c r="V190" s="20" t="b">
        <f>Data!X190</f>
        <v>1</v>
      </c>
      <c r="W190" s="20" t="b">
        <f>Data!Y190</f>
        <v>1</v>
      </c>
      <c r="X190" s="20">
        <f>Data!Z190</f>
        <v>0</v>
      </c>
      <c r="Y190" s="22">
        <f>Data!AL190</f>
        <v>0</v>
      </c>
      <c r="Z190" s="20">
        <f>Data!AC190</f>
        <v>0</v>
      </c>
      <c r="AA190" s="20">
        <f>Data!AE190</f>
        <v>0</v>
      </c>
      <c r="AB190" s="20">
        <f>Data!AG190</f>
        <v>0</v>
      </c>
      <c r="AC190" s="20" t="str">
        <f>CONCATENATE(Data!AI190," ",Data!AJ190)</f>
        <v xml:space="preserve"> </v>
      </c>
    </row>
    <row r="191" spans="1:29" ht="15">
      <c r="A191" s="20" t="str">
        <f>Data!A191</f>
        <v>デモ機</v>
      </c>
      <c r="B191" s="20" t="str">
        <f>Data!C191</f>
        <v>Entire Organization</v>
      </c>
      <c r="C191" s="20" t="str">
        <f>IF(Data!E191=0,"",Data!E191)</f>
        <v/>
      </c>
      <c r="D191" s="26">
        <f t="shared" si="2"/>
        <v>42065.87300925926</v>
      </c>
      <c r="E191" s="27">
        <f>Data!F191</f>
        <v>42065.87300925926</v>
      </c>
      <c r="F191" s="20" t="str">
        <f>Data!G191</f>
        <v>GpsRecord</v>
      </c>
      <c r="G191" s="20">
        <f>Data!H191</f>
        <v>39</v>
      </c>
      <c r="H191" s="20">
        <f>Data!I191</f>
        <v>139.40213</v>
      </c>
      <c r="I191" s="20">
        <f>Data!J191</f>
        <v>35.5839</v>
      </c>
      <c r="J191" s="21" t="str">
        <f>IF(Data!K191=0,"",Data!K191)</f>
        <v>日本, 〒194-0213 東京都町田市常盤町 町田街道</v>
      </c>
      <c r="K191" s="22">
        <f>Data!L191</f>
        <v>0</v>
      </c>
      <c r="L191" s="21" t="str">
        <f>IF(Data!N191=0,"",Data!N191)</f>
        <v>CurveBased</v>
      </c>
      <c r="M191" s="20" t="b">
        <f>Data!O191</f>
        <v>1</v>
      </c>
      <c r="N191" s="20" t="b">
        <f>Data!P191</f>
        <v>0</v>
      </c>
      <c r="O191" s="20" t="b">
        <f>Data!Q191</f>
        <v>0</v>
      </c>
      <c r="P191" s="20" t="b">
        <f>Data!R191</f>
        <v>0</v>
      </c>
      <c r="Q191" s="20" t="b">
        <f>Data!S191</f>
        <v>0</v>
      </c>
      <c r="R191" s="20" t="b">
        <f>Data!T191</f>
        <v>0</v>
      </c>
      <c r="S191" s="20" t="b">
        <f>Data!U191</f>
        <v>0</v>
      </c>
      <c r="T191" s="20" t="b">
        <f>Data!V191</f>
        <v>0</v>
      </c>
      <c r="U191" s="20" t="b">
        <f>Data!W191</f>
        <v>0</v>
      </c>
      <c r="V191" s="20" t="b">
        <f>Data!X191</f>
        <v>1</v>
      </c>
      <c r="W191" s="20" t="b">
        <f>Data!Y191</f>
        <v>1</v>
      </c>
      <c r="X191" s="20">
        <f>Data!Z191</f>
        <v>0</v>
      </c>
      <c r="Y191" s="22">
        <f>Data!AL191</f>
        <v>0</v>
      </c>
      <c r="Z191" s="20">
        <f>Data!AC191</f>
        <v>0</v>
      </c>
      <c r="AA191" s="20">
        <f>Data!AE191</f>
        <v>0</v>
      </c>
      <c r="AB191" s="20">
        <f>Data!AG191</f>
        <v>0</v>
      </c>
      <c r="AC191" s="20" t="str">
        <f>CONCATENATE(Data!AI191," ",Data!AJ191)</f>
        <v xml:space="preserve"> </v>
      </c>
    </row>
    <row r="192" spans="1:29" ht="15">
      <c r="A192" s="20" t="str">
        <f>Data!A192</f>
        <v>デモ機</v>
      </c>
      <c r="B192" s="20" t="str">
        <f>Data!C192</f>
        <v>Entire Organization</v>
      </c>
      <c r="C192" s="20" t="str">
        <f>IF(Data!E192=0,"",Data!E192)</f>
        <v/>
      </c>
      <c r="D192" s="26">
        <f t="shared" si="2"/>
        <v>42065.873136574075</v>
      </c>
      <c r="E192" s="27">
        <f>Data!F192</f>
        <v>42065.873136574075</v>
      </c>
      <c r="F192" s="20" t="str">
        <f>Data!G192</f>
        <v>GpsRecord</v>
      </c>
      <c r="G192" s="20">
        <f>Data!H192</f>
        <v>39</v>
      </c>
      <c r="H192" s="20">
        <f>Data!I192</f>
        <v>139.40091000000001</v>
      </c>
      <c r="I192" s="20">
        <f>Data!J192</f>
        <v>35.584330000000001</v>
      </c>
      <c r="J192" s="21" t="str">
        <f>IF(Data!K192=0,"",Data!K192)</f>
        <v>日本, 〒194-0213 東京都町田市常盤町 町田街道</v>
      </c>
      <c r="K192" s="22">
        <f>Data!L192</f>
        <v>0</v>
      </c>
      <c r="L192" s="21" t="str">
        <f>IF(Data!N192=0,"",Data!N192)</f>
        <v>CurveSpeed</v>
      </c>
      <c r="M192" s="20" t="b">
        <f>Data!O192</f>
        <v>1</v>
      </c>
      <c r="N192" s="20" t="b">
        <f>Data!P192</f>
        <v>0</v>
      </c>
      <c r="O192" s="20" t="b">
        <f>Data!Q192</f>
        <v>0</v>
      </c>
      <c r="P192" s="20" t="b">
        <f>Data!R192</f>
        <v>0</v>
      </c>
      <c r="Q192" s="20" t="b">
        <f>Data!S192</f>
        <v>0</v>
      </c>
      <c r="R192" s="20" t="b">
        <f>Data!T192</f>
        <v>0</v>
      </c>
      <c r="S192" s="20" t="b">
        <f>Data!U192</f>
        <v>0</v>
      </c>
      <c r="T192" s="20" t="b">
        <f>Data!V192</f>
        <v>0</v>
      </c>
      <c r="U192" s="20" t="b">
        <f>Data!W192</f>
        <v>0</v>
      </c>
      <c r="V192" s="20" t="b">
        <f>Data!X192</f>
        <v>1</v>
      </c>
      <c r="W192" s="20" t="b">
        <f>Data!Y192</f>
        <v>1</v>
      </c>
      <c r="X192" s="20">
        <f>Data!Z192</f>
        <v>0</v>
      </c>
      <c r="Y192" s="22">
        <f>Data!AL192</f>
        <v>0</v>
      </c>
      <c r="Z192" s="20">
        <f>Data!AC192</f>
        <v>0</v>
      </c>
      <c r="AA192" s="20">
        <f>Data!AE192</f>
        <v>0</v>
      </c>
      <c r="AB192" s="20">
        <f>Data!AG192</f>
        <v>0</v>
      </c>
      <c r="AC192" s="20" t="str">
        <f>CONCATENATE(Data!AI192," ",Data!AJ192)</f>
        <v xml:space="preserve"> </v>
      </c>
    </row>
    <row r="193" spans="1:29" ht="15">
      <c r="A193" s="20" t="str">
        <f>Data!A193</f>
        <v>デモ機</v>
      </c>
      <c r="B193" s="20" t="str">
        <f>Data!C193</f>
        <v>Entire Organization</v>
      </c>
      <c r="C193" s="20" t="str">
        <f>IF(Data!E193=0,"",Data!E193)</f>
        <v/>
      </c>
      <c r="D193" s="26">
        <f t="shared" si="2"/>
        <v>42065.873217743057</v>
      </c>
      <c r="E193" s="27">
        <f>Data!F193</f>
        <v>42065.873217743057</v>
      </c>
      <c r="F193" s="20" t="str">
        <f>Data!G193</f>
        <v>EngineStatusRecord</v>
      </c>
      <c r="G193" s="20">
        <f>Data!H193</f>
        <v>0</v>
      </c>
      <c r="H193" s="20">
        <f>Data!I193</f>
        <v>0</v>
      </c>
      <c r="I193" s="20">
        <f>Data!J193</f>
        <v>0</v>
      </c>
      <c r="J193" s="21" t="str">
        <f>IF(Data!K193=0,"",Data!K193)</f>
        <v/>
      </c>
      <c r="K193" s="22">
        <f>Data!L193</f>
        <v>0</v>
      </c>
      <c r="L193" s="21" t="str">
        <f>IF(Data!N193=0,"",Data!N193)</f>
        <v/>
      </c>
      <c r="M193" s="20">
        <f>Data!O193</f>
        <v>0</v>
      </c>
      <c r="N193" s="20">
        <f>Data!P193</f>
        <v>0</v>
      </c>
      <c r="O193" s="20">
        <f>Data!Q193</f>
        <v>0</v>
      </c>
      <c r="P193" s="20">
        <f>Data!R193</f>
        <v>0</v>
      </c>
      <c r="Q193" s="20">
        <f>Data!S193</f>
        <v>0</v>
      </c>
      <c r="R193" s="20">
        <f>Data!T193</f>
        <v>0</v>
      </c>
      <c r="S193" s="20">
        <f>Data!U193</f>
        <v>0</v>
      </c>
      <c r="T193" s="20">
        <f>Data!V193</f>
        <v>0</v>
      </c>
      <c r="U193" s="20">
        <f>Data!W193</f>
        <v>0</v>
      </c>
      <c r="V193" s="20">
        <f>Data!X193</f>
        <v>0</v>
      </c>
      <c r="W193" s="20">
        <f>Data!Y193</f>
        <v>0</v>
      </c>
      <c r="X193" s="20">
        <f>Data!Z193</f>
        <v>0</v>
      </c>
      <c r="Y193" s="22">
        <f>Data!AL193</f>
        <v>0</v>
      </c>
      <c r="Z193" s="20" t="str">
        <f>Data!AC193</f>
        <v>Engine RPM</v>
      </c>
      <c r="AA193" s="20" t="str">
        <f>Data!AE193</f>
        <v/>
      </c>
      <c r="AB193" s="20">
        <f>Data!AG193</f>
        <v>0</v>
      </c>
      <c r="AC193" s="20" t="str">
        <f>CONCATENATE(Data!AI193," ",Data!AJ193)</f>
        <v>1670.75 RPM</v>
      </c>
    </row>
    <row r="194" spans="1:29" ht="15">
      <c r="A194" s="20" t="str">
        <f>Data!A194</f>
        <v>デモ機</v>
      </c>
      <c r="B194" s="20" t="str">
        <f>Data!C194</f>
        <v>Entire Organization</v>
      </c>
      <c r="C194" s="20" t="str">
        <f>IF(Data!E194=0,"",Data!E194)</f>
        <v/>
      </c>
      <c r="D194" s="26">
        <f t="shared" si="2"/>
        <v>42065.873240740744</v>
      </c>
      <c r="E194" s="27">
        <f>Data!F194</f>
        <v>42065.873240740744</v>
      </c>
      <c r="F194" s="20" t="str">
        <f>Data!G194</f>
        <v>GpsRecord</v>
      </c>
      <c r="G194" s="20">
        <f>Data!H194</f>
        <v>52</v>
      </c>
      <c r="H194" s="20">
        <f>Data!I194</f>
        <v>139.3997</v>
      </c>
      <c r="I194" s="20">
        <f>Data!J194</f>
        <v>35.584719999999997</v>
      </c>
      <c r="J194" s="21" t="str">
        <f>IF(Data!K194=0,"",Data!K194)</f>
        <v>日本, 〒194-0213 東京都町田市常盤町 町田街道</v>
      </c>
      <c r="K194" s="22">
        <f>Data!L194</f>
        <v>0</v>
      </c>
      <c r="L194" s="21" t="str">
        <f>IF(Data!N194=0,"",Data!N194)</f>
        <v>CurveBased</v>
      </c>
      <c r="M194" s="20" t="b">
        <f>Data!O194</f>
        <v>1</v>
      </c>
      <c r="N194" s="20" t="b">
        <f>Data!P194</f>
        <v>0</v>
      </c>
      <c r="O194" s="20" t="b">
        <f>Data!Q194</f>
        <v>0</v>
      </c>
      <c r="P194" s="20" t="b">
        <f>Data!R194</f>
        <v>0</v>
      </c>
      <c r="Q194" s="20" t="b">
        <f>Data!S194</f>
        <v>0</v>
      </c>
      <c r="R194" s="20" t="b">
        <f>Data!T194</f>
        <v>0</v>
      </c>
      <c r="S194" s="20" t="b">
        <f>Data!U194</f>
        <v>0</v>
      </c>
      <c r="T194" s="20" t="b">
        <f>Data!V194</f>
        <v>0</v>
      </c>
      <c r="U194" s="20" t="b">
        <f>Data!W194</f>
        <v>0</v>
      </c>
      <c r="V194" s="20" t="b">
        <f>Data!X194</f>
        <v>1</v>
      </c>
      <c r="W194" s="20" t="b">
        <f>Data!Y194</f>
        <v>1</v>
      </c>
      <c r="X194" s="20">
        <f>Data!Z194</f>
        <v>0</v>
      </c>
      <c r="Y194" s="22">
        <f>Data!AL194</f>
        <v>0</v>
      </c>
      <c r="Z194" s="20">
        <f>Data!AC194</f>
        <v>0</v>
      </c>
      <c r="AA194" s="20">
        <f>Data!AE194</f>
        <v>0</v>
      </c>
      <c r="AB194" s="20">
        <f>Data!AG194</f>
        <v>0</v>
      </c>
      <c r="AC194" s="20" t="str">
        <f>CONCATENATE(Data!AI194," ",Data!AJ194)</f>
        <v xml:space="preserve"> </v>
      </c>
    </row>
    <row r="195" spans="1:29" ht="15">
      <c r="A195" s="20" t="str">
        <f>Data!A195</f>
        <v>デモ機</v>
      </c>
      <c r="B195" s="20" t="str">
        <f>Data!C195</f>
        <v>Entire Organization</v>
      </c>
      <c r="C195" s="20" t="str">
        <f>IF(Data!E195=0,"",Data!E195)</f>
        <v/>
      </c>
      <c r="D195" s="26">
        <f t="shared" si="2"/>
        <v>42065.873553240737</v>
      </c>
      <c r="E195" s="27">
        <f>Data!F195</f>
        <v>42065.873553240737</v>
      </c>
      <c r="F195" s="20" t="str">
        <f>Data!G195</f>
        <v>GpsRecord</v>
      </c>
      <c r="G195" s="20">
        <f>Data!H195</f>
        <v>37</v>
      </c>
      <c r="H195" s="20">
        <f>Data!I195</f>
        <v>139.39609999999999</v>
      </c>
      <c r="I195" s="20">
        <f>Data!J195</f>
        <v>35.585590000000003</v>
      </c>
      <c r="J195" s="21" t="str">
        <f>IF(Data!K195=0,"",Data!K195)</f>
        <v>日本, 〒194-0213 東京都町田市常盤町 町田街道</v>
      </c>
      <c r="K195" s="22">
        <f>Data!L195</f>
        <v>0</v>
      </c>
      <c r="L195" s="21" t="str">
        <f>IF(Data!N195=0,"",Data!N195)</f>
        <v>CurveSpeed</v>
      </c>
      <c r="M195" s="20" t="b">
        <f>Data!O195</f>
        <v>1</v>
      </c>
      <c r="N195" s="20" t="b">
        <f>Data!P195</f>
        <v>0</v>
      </c>
      <c r="O195" s="20" t="b">
        <f>Data!Q195</f>
        <v>0</v>
      </c>
      <c r="P195" s="20" t="b">
        <f>Data!R195</f>
        <v>0</v>
      </c>
      <c r="Q195" s="20" t="b">
        <f>Data!S195</f>
        <v>0</v>
      </c>
      <c r="R195" s="20" t="b">
        <f>Data!T195</f>
        <v>0</v>
      </c>
      <c r="S195" s="20" t="b">
        <f>Data!U195</f>
        <v>0</v>
      </c>
      <c r="T195" s="20" t="b">
        <f>Data!V195</f>
        <v>0</v>
      </c>
      <c r="U195" s="20" t="b">
        <f>Data!W195</f>
        <v>0</v>
      </c>
      <c r="V195" s="20" t="b">
        <f>Data!X195</f>
        <v>1</v>
      </c>
      <c r="W195" s="20" t="b">
        <f>Data!Y195</f>
        <v>1</v>
      </c>
      <c r="X195" s="20">
        <f>Data!Z195</f>
        <v>0</v>
      </c>
      <c r="Y195" s="22">
        <f>Data!AL195</f>
        <v>0</v>
      </c>
      <c r="Z195" s="20">
        <f>Data!AC195</f>
        <v>0</v>
      </c>
      <c r="AA195" s="20">
        <f>Data!AE195</f>
        <v>0</v>
      </c>
      <c r="AB195" s="20">
        <f>Data!AG195</f>
        <v>0</v>
      </c>
      <c r="AC195" s="20" t="str">
        <f>CONCATENATE(Data!AI195," ",Data!AJ195)</f>
        <v xml:space="preserve"> </v>
      </c>
    </row>
    <row r="196" spans="1:29" ht="15">
      <c r="A196" s="20" t="str">
        <f>Data!A196</f>
        <v>デモ機</v>
      </c>
      <c r="B196" s="20" t="str">
        <f>Data!C196</f>
        <v>Entire Organization</v>
      </c>
      <c r="C196" s="20" t="str">
        <f>IF(Data!E196=0,"",Data!E196)</f>
        <v/>
      </c>
      <c r="D196" s="26">
        <f t="shared" si="2"/>
        <v>42065.873692129629</v>
      </c>
      <c r="E196" s="27">
        <f>Data!F196</f>
        <v>42065.873692129629</v>
      </c>
      <c r="F196" s="20" t="str">
        <f>Data!G196</f>
        <v>GpsRecord</v>
      </c>
      <c r="G196" s="20">
        <f>Data!H196</f>
        <v>0</v>
      </c>
      <c r="H196" s="20">
        <f>Data!I196</f>
        <v>139.39546000000001</v>
      </c>
      <c r="I196" s="20">
        <f>Data!J196</f>
        <v>35.585720000000002</v>
      </c>
      <c r="J196" s="21" t="str">
        <f>IF(Data!K196=0,"",Data!K196)</f>
        <v>日本, 〒194-0213 東京都町田市常盤町 町田街道</v>
      </c>
      <c r="K196" s="22">
        <f>Data!L196</f>
        <v>0</v>
      </c>
      <c r="L196" s="21" t="str">
        <f>IF(Data!N196=0,"",Data!N196)</f>
        <v>CurveZeroSpeed</v>
      </c>
      <c r="M196" s="20" t="b">
        <f>Data!O196</f>
        <v>1</v>
      </c>
      <c r="N196" s="20" t="b">
        <f>Data!P196</f>
        <v>0</v>
      </c>
      <c r="O196" s="20" t="b">
        <f>Data!Q196</f>
        <v>0</v>
      </c>
      <c r="P196" s="20" t="b">
        <f>Data!R196</f>
        <v>0</v>
      </c>
      <c r="Q196" s="20" t="b">
        <f>Data!S196</f>
        <v>0</v>
      </c>
      <c r="R196" s="20" t="b">
        <f>Data!T196</f>
        <v>0</v>
      </c>
      <c r="S196" s="20" t="b">
        <f>Data!U196</f>
        <v>0</v>
      </c>
      <c r="T196" s="20" t="b">
        <f>Data!V196</f>
        <v>0</v>
      </c>
      <c r="U196" s="20" t="b">
        <f>Data!W196</f>
        <v>0</v>
      </c>
      <c r="V196" s="20" t="b">
        <f>Data!X196</f>
        <v>1</v>
      </c>
      <c r="W196" s="20" t="b">
        <f>Data!Y196</f>
        <v>1</v>
      </c>
      <c r="X196" s="20">
        <f>Data!Z196</f>
        <v>0</v>
      </c>
      <c r="Y196" s="22">
        <f>Data!AL196</f>
        <v>0</v>
      </c>
      <c r="Z196" s="20">
        <f>Data!AC196</f>
        <v>0</v>
      </c>
      <c r="AA196" s="20">
        <f>Data!AE196</f>
        <v>0</v>
      </c>
      <c r="AB196" s="20">
        <f>Data!AG196</f>
        <v>0</v>
      </c>
      <c r="AC196" s="20" t="str">
        <f>CONCATENATE(Data!AI196," ",Data!AJ196)</f>
        <v xml:space="preserve"> </v>
      </c>
    </row>
    <row r="197" spans="1:29" ht="15">
      <c r="A197" s="20" t="str">
        <f>Data!A197</f>
        <v>デモ機</v>
      </c>
      <c r="B197" s="20" t="str">
        <f>Data!C197</f>
        <v>Entire Organization</v>
      </c>
      <c r="C197" s="20" t="str">
        <f>IF(Data!E197=0,"",Data!E197)</f>
        <v/>
      </c>
      <c r="D197" s="26">
        <f t="shared" si="2"/>
        <v>42065.873715277776</v>
      </c>
      <c r="E197" s="27">
        <f>Data!F197</f>
        <v>42065.873715277776</v>
      </c>
      <c r="F197" s="20" t="str">
        <f>Data!G197</f>
        <v>GpsRecord</v>
      </c>
      <c r="G197" s="20">
        <f>Data!H197</f>
        <v>0</v>
      </c>
      <c r="H197" s="20">
        <f>Data!I197</f>
        <v>139.39546000000001</v>
      </c>
      <c r="I197" s="20">
        <f>Data!J197</f>
        <v>35.585720000000002</v>
      </c>
      <c r="J197" s="21" t="str">
        <f>IF(Data!K197=0,"",Data!K197)</f>
        <v>日本, 〒194-0213 東京都町田市常盤町 町田街道</v>
      </c>
      <c r="K197" s="22">
        <f>Data!L197</f>
        <v>0</v>
      </c>
      <c r="L197" s="21" t="str">
        <f>IF(Data!N197=0,"",Data!N197)</f>
        <v>CurveTimeOut</v>
      </c>
      <c r="M197" s="20" t="b">
        <f>Data!O197</f>
        <v>1</v>
      </c>
      <c r="N197" s="20" t="b">
        <f>Data!P197</f>
        <v>0</v>
      </c>
      <c r="O197" s="20" t="b">
        <f>Data!Q197</f>
        <v>0</v>
      </c>
      <c r="P197" s="20" t="b">
        <f>Data!R197</f>
        <v>0</v>
      </c>
      <c r="Q197" s="20" t="b">
        <f>Data!S197</f>
        <v>0</v>
      </c>
      <c r="R197" s="20" t="b">
        <f>Data!T197</f>
        <v>0</v>
      </c>
      <c r="S197" s="20" t="b">
        <f>Data!U197</f>
        <v>0</v>
      </c>
      <c r="T197" s="20" t="b">
        <f>Data!V197</f>
        <v>0</v>
      </c>
      <c r="U197" s="20" t="b">
        <f>Data!W197</f>
        <v>0</v>
      </c>
      <c r="V197" s="20" t="b">
        <f>Data!X197</f>
        <v>1</v>
      </c>
      <c r="W197" s="20" t="b">
        <f>Data!Y197</f>
        <v>1</v>
      </c>
      <c r="X197" s="20">
        <f>Data!Z197</f>
        <v>0</v>
      </c>
      <c r="Y197" s="22">
        <f>Data!AL197</f>
        <v>0</v>
      </c>
      <c r="Z197" s="20">
        <f>Data!AC197</f>
        <v>0</v>
      </c>
      <c r="AA197" s="20">
        <f>Data!AE197</f>
        <v>0</v>
      </c>
      <c r="AB197" s="20">
        <f>Data!AG197</f>
        <v>0</v>
      </c>
      <c r="AC197" s="20" t="str">
        <f>CONCATENATE(Data!AI197," ",Data!AJ197)</f>
        <v xml:space="preserve"> </v>
      </c>
    </row>
    <row r="198" spans="1:29" ht="15">
      <c r="A198" s="20" t="str">
        <f>Data!A198</f>
        <v>デモ機</v>
      </c>
      <c r="B198" s="20" t="str">
        <f>Data!C198</f>
        <v>Entire Organization</v>
      </c>
      <c r="C198" s="20" t="str">
        <f>IF(Data!E198=0,"",Data!E198)</f>
        <v/>
      </c>
      <c r="D198" s="26">
        <f t="shared" si="2"/>
        <v>42065.873807870368</v>
      </c>
      <c r="E198" s="27">
        <f>Data!F198</f>
        <v>42065.873807870368</v>
      </c>
      <c r="F198" s="20" t="str">
        <f>Data!G198</f>
        <v>GpsRecord</v>
      </c>
      <c r="G198" s="20">
        <f>Data!H198</f>
        <v>2</v>
      </c>
      <c r="H198" s="20">
        <f>Data!I198</f>
        <v>139.39543</v>
      </c>
      <c r="I198" s="20">
        <f>Data!J198</f>
        <v>35.585740000000001</v>
      </c>
      <c r="J198" s="21" t="str">
        <f>IF(Data!K198=0,"",Data!K198)</f>
        <v>日本, 〒194-0213 東京都町田市常盤町 町田街道</v>
      </c>
      <c r="K198" s="22">
        <f>Data!L198</f>
        <v>0</v>
      </c>
      <c r="L198" s="21" t="str">
        <f>IF(Data!N198=0,"",Data!N198)</f>
        <v>CurveZeroSpeed</v>
      </c>
      <c r="M198" s="20" t="b">
        <f>Data!O198</f>
        <v>1</v>
      </c>
      <c r="N198" s="20" t="b">
        <f>Data!P198</f>
        <v>0</v>
      </c>
      <c r="O198" s="20" t="b">
        <f>Data!Q198</f>
        <v>0</v>
      </c>
      <c r="P198" s="20" t="b">
        <f>Data!R198</f>
        <v>0</v>
      </c>
      <c r="Q198" s="20" t="b">
        <f>Data!S198</f>
        <v>0</v>
      </c>
      <c r="R198" s="20" t="b">
        <f>Data!T198</f>
        <v>0</v>
      </c>
      <c r="S198" s="20" t="b">
        <f>Data!U198</f>
        <v>0</v>
      </c>
      <c r="T198" s="20" t="b">
        <f>Data!V198</f>
        <v>0</v>
      </c>
      <c r="U198" s="20" t="b">
        <f>Data!W198</f>
        <v>0</v>
      </c>
      <c r="V198" s="20" t="b">
        <f>Data!X198</f>
        <v>1</v>
      </c>
      <c r="W198" s="20" t="b">
        <f>Data!Y198</f>
        <v>1</v>
      </c>
      <c r="X198" s="20">
        <f>Data!Z198</f>
        <v>0</v>
      </c>
      <c r="Y198" s="22">
        <f>Data!AL198</f>
        <v>0</v>
      </c>
      <c r="Z198" s="20">
        <f>Data!AC198</f>
        <v>0</v>
      </c>
      <c r="AA198" s="20">
        <f>Data!AE198</f>
        <v>0</v>
      </c>
      <c r="AB198" s="20">
        <f>Data!AG198</f>
        <v>0</v>
      </c>
      <c r="AC198" s="20" t="str">
        <f>CONCATENATE(Data!AI198," ",Data!AJ198)</f>
        <v xml:space="preserve"> </v>
      </c>
    </row>
    <row r="199" spans="1:29" ht="15">
      <c r="A199" s="20" t="str">
        <f>Data!A199</f>
        <v>デモ機</v>
      </c>
      <c r="B199" s="20" t="str">
        <f>Data!C199</f>
        <v>Entire Organization</v>
      </c>
      <c r="C199" s="20" t="str">
        <f>IF(Data!E199=0,"",Data!E199)</f>
        <v/>
      </c>
      <c r="D199" s="26">
        <f t="shared" si="2"/>
        <v>42065.873865891204</v>
      </c>
      <c r="E199" s="27">
        <f>Data!F199</f>
        <v>42065.873865891204</v>
      </c>
      <c r="F199" s="20" t="str">
        <f>Data!G199</f>
        <v>EngineStatusRecord</v>
      </c>
      <c r="G199" s="20">
        <f>Data!H199</f>
        <v>0</v>
      </c>
      <c r="H199" s="20">
        <f>Data!I199</f>
        <v>0</v>
      </c>
      <c r="I199" s="20">
        <f>Data!J199</f>
        <v>0</v>
      </c>
      <c r="J199" s="21" t="str">
        <f>IF(Data!K199=0,"",Data!K199)</f>
        <v/>
      </c>
      <c r="K199" s="22">
        <f>Data!L199</f>
        <v>0</v>
      </c>
      <c r="L199" s="21" t="str">
        <f>IF(Data!N199=0,"",Data!N199)</f>
        <v/>
      </c>
      <c r="M199" s="20">
        <f>Data!O199</f>
        <v>0</v>
      </c>
      <c r="N199" s="20">
        <f>Data!P199</f>
        <v>0</v>
      </c>
      <c r="O199" s="20">
        <f>Data!Q199</f>
        <v>0</v>
      </c>
      <c r="P199" s="20">
        <f>Data!R199</f>
        <v>0</v>
      </c>
      <c r="Q199" s="20">
        <f>Data!S199</f>
        <v>0</v>
      </c>
      <c r="R199" s="20">
        <f>Data!T199</f>
        <v>0</v>
      </c>
      <c r="S199" s="20">
        <f>Data!U199</f>
        <v>0</v>
      </c>
      <c r="T199" s="20">
        <f>Data!V199</f>
        <v>0</v>
      </c>
      <c r="U199" s="20">
        <f>Data!W199</f>
        <v>0</v>
      </c>
      <c r="V199" s="20">
        <f>Data!X199</f>
        <v>0</v>
      </c>
      <c r="W199" s="20">
        <f>Data!Y199</f>
        <v>0</v>
      </c>
      <c r="X199" s="20">
        <f>Data!Z199</f>
        <v>0</v>
      </c>
      <c r="Y199" s="22">
        <f>Data!AL199</f>
        <v>0</v>
      </c>
      <c r="Z199" s="20" t="str">
        <f>Data!AC199</f>
        <v>Engine RPM</v>
      </c>
      <c r="AA199" s="20" t="str">
        <f>Data!AE199</f>
        <v/>
      </c>
      <c r="AB199" s="20">
        <f>Data!AG199</f>
        <v>0</v>
      </c>
      <c r="AC199" s="20" t="str">
        <f>CONCATENATE(Data!AI199," ",Data!AJ199)</f>
        <v>1563.5 RPM</v>
      </c>
    </row>
    <row r="200" spans="1:29" ht="15">
      <c r="A200" s="20" t="str">
        <f>Data!A200</f>
        <v>デモ機</v>
      </c>
      <c r="B200" s="20" t="str">
        <f>Data!C200</f>
        <v>Entire Organization</v>
      </c>
      <c r="C200" s="20" t="str">
        <f>IF(Data!E200=0,"",Data!E200)</f>
        <v/>
      </c>
      <c r="D200" s="26">
        <f t="shared" si="2"/>
        <v>42065.873923611114</v>
      </c>
      <c r="E200" s="27">
        <f>Data!F200</f>
        <v>42065.873923611114</v>
      </c>
      <c r="F200" s="20" t="str">
        <f>Data!G200</f>
        <v>GpsRecord</v>
      </c>
      <c r="G200" s="20">
        <f>Data!H200</f>
        <v>26</v>
      </c>
      <c r="H200" s="20">
        <f>Data!I200</f>
        <v>139.39505</v>
      </c>
      <c r="I200" s="20">
        <f>Data!J200</f>
        <v>35.585819999999998</v>
      </c>
      <c r="J200" s="21" t="str">
        <f>IF(Data!K200=0,"",Data!K200)</f>
        <v>日本, 常盤（バス）（東京）</v>
      </c>
      <c r="K200" s="22">
        <f>Data!L200</f>
        <v>0</v>
      </c>
      <c r="L200" s="21" t="str">
        <f>IF(Data!N200=0,"",Data!N200)</f>
        <v>CurveSpeed</v>
      </c>
      <c r="M200" s="20" t="b">
        <f>Data!O200</f>
        <v>1</v>
      </c>
      <c r="N200" s="20" t="b">
        <f>Data!P200</f>
        <v>0</v>
      </c>
      <c r="O200" s="20" t="b">
        <f>Data!Q200</f>
        <v>0</v>
      </c>
      <c r="P200" s="20" t="b">
        <f>Data!R200</f>
        <v>0</v>
      </c>
      <c r="Q200" s="20" t="b">
        <f>Data!S200</f>
        <v>0</v>
      </c>
      <c r="R200" s="20" t="b">
        <f>Data!T200</f>
        <v>0</v>
      </c>
      <c r="S200" s="20" t="b">
        <f>Data!U200</f>
        <v>0</v>
      </c>
      <c r="T200" s="20" t="b">
        <f>Data!V200</f>
        <v>0</v>
      </c>
      <c r="U200" s="20" t="b">
        <f>Data!W200</f>
        <v>0</v>
      </c>
      <c r="V200" s="20" t="b">
        <f>Data!X200</f>
        <v>1</v>
      </c>
      <c r="W200" s="20" t="b">
        <f>Data!Y200</f>
        <v>1</v>
      </c>
      <c r="X200" s="20">
        <f>Data!Z200</f>
        <v>0</v>
      </c>
      <c r="Y200" s="22">
        <f>Data!AL200</f>
        <v>0</v>
      </c>
      <c r="Z200" s="20">
        <f>Data!AC200</f>
        <v>0</v>
      </c>
      <c r="AA200" s="20">
        <f>Data!AE200</f>
        <v>0</v>
      </c>
      <c r="AB200" s="20">
        <f>Data!AG200</f>
        <v>0</v>
      </c>
      <c r="AC200" s="20" t="str">
        <f>CONCATENATE(Data!AI200," ",Data!AJ200)</f>
        <v xml:space="preserve"> </v>
      </c>
    </row>
    <row r="201" spans="1:29" ht="15">
      <c r="A201" s="20" t="str">
        <f>Data!A201</f>
        <v>デモ機</v>
      </c>
      <c r="B201" s="20" t="str">
        <f>Data!C201</f>
        <v>Entire Organization</v>
      </c>
      <c r="C201" s="20" t="str">
        <f>IF(Data!E201=0,"",Data!E201)</f>
        <v/>
      </c>
      <c r="D201" s="26">
        <f t="shared" ref="D201:D264" si="3">E201</f>
        <v>42065.873946990738</v>
      </c>
      <c r="E201" s="27">
        <f>Data!F201</f>
        <v>42065.873946990738</v>
      </c>
      <c r="F201" s="20" t="str">
        <f>Data!G201</f>
        <v>EngineStatusRecord</v>
      </c>
      <c r="G201" s="20">
        <f>Data!H201</f>
        <v>0</v>
      </c>
      <c r="H201" s="20">
        <f>Data!I201</f>
        <v>0</v>
      </c>
      <c r="I201" s="20">
        <f>Data!J201</f>
        <v>0</v>
      </c>
      <c r="J201" s="21" t="str">
        <f>IF(Data!K201=0,"",Data!K201)</f>
        <v/>
      </c>
      <c r="K201" s="22">
        <f>Data!L201</f>
        <v>0</v>
      </c>
      <c r="L201" s="21" t="str">
        <f>IF(Data!N201=0,"",Data!N201)</f>
        <v/>
      </c>
      <c r="M201" s="20">
        <f>Data!O201</f>
        <v>0</v>
      </c>
      <c r="N201" s="20">
        <f>Data!P201</f>
        <v>0</v>
      </c>
      <c r="O201" s="20">
        <f>Data!Q201</f>
        <v>0</v>
      </c>
      <c r="P201" s="20">
        <f>Data!R201</f>
        <v>0</v>
      </c>
      <c r="Q201" s="20">
        <f>Data!S201</f>
        <v>0</v>
      </c>
      <c r="R201" s="20">
        <f>Data!T201</f>
        <v>0</v>
      </c>
      <c r="S201" s="20">
        <f>Data!U201</f>
        <v>0</v>
      </c>
      <c r="T201" s="20">
        <f>Data!V201</f>
        <v>0</v>
      </c>
      <c r="U201" s="20">
        <f>Data!W201</f>
        <v>0</v>
      </c>
      <c r="V201" s="20">
        <f>Data!X201</f>
        <v>0</v>
      </c>
      <c r="W201" s="20">
        <f>Data!Y201</f>
        <v>0</v>
      </c>
      <c r="X201" s="20">
        <f>Data!Z201</f>
        <v>0</v>
      </c>
      <c r="Y201" s="22">
        <f>Data!AL201</f>
        <v>0</v>
      </c>
      <c r="Z201" s="20" t="str">
        <f>Data!AC201</f>
        <v>Engine RPM</v>
      </c>
      <c r="AA201" s="20" t="str">
        <f>Data!AE201</f>
        <v/>
      </c>
      <c r="AB201" s="20">
        <f>Data!AG201</f>
        <v>0</v>
      </c>
      <c r="AC201" s="20" t="str">
        <f>CONCATENATE(Data!AI201," ",Data!AJ201)</f>
        <v>924.5 RPM</v>
      </c>
    </row>
    <row r="202" spans="1:29" ht="15">
      <c r="A202" s="20" t="str">
        <f>Data!A202</f>
        <v>デモ機</v>
      </c>
      <c r="B202" s="20" t="str">
        <f>Data!C202</f>
        <v>Entire Organization</v>
      </c>
      <c r="C202" s="20" t="str">
        <f>IF(Data!E202=0,"",Data!E202)</f>
        <v/>
      </c>
      <c r="D202" s="26">
        <f t="shared" si="3"/>
        <v>42065.87395833333</v>
      </c>
      <c r="E202" s="27">
        <f>Data!F202</f>
        <v>42065.87395833333</v>
      </c>
      <c r="F202" s="20" t="str">
        <f>Data!G202</f>
        <v>EngineStatusRecord</v>
      </c>
      <c r="G202" s="20">
        <f>Data!H202</f>
        <v>0</v>
      </c>
      <c r="H202" s="20">
        <f>Data!I202</f>
        <v>0</v>
      </c>
      <c r="I202" s="20">
        <f>Data!J202</f>
        <v>0</v>
      </c>
      <c r="J202" s="21" t="str">
        <f>IF(Data!K202=0,"",Data!K202)</f>
        <v/>
      </c>
      <c r="K202" s="22">
        <f>Data!L202</f>
        <v>0</v>
      </c>
      <c r="L202" s="21" t="str">
        <f>IF(Data!N202=0,"",Data!N202)</f>
        <v/>
      </c>
      <c r="M202" s="20">
        <f>Data!O202</f>
        <v>0</v>
      </c>
      <c r="N202" s="20">
        <f>Data!P202</f>
        <v>0</v>
      </c>
      <c r="O202" s="20">
        <f>Data!Q202</f>
        <v>0</v>
      </c>
      <c r="P202" s="20">
        <f>Data!R202</f>
        <v>0</v>
      </c>
      <c r="Q202" s="20">
        <f>Data!S202</f>
        <v>0</v>
      </c>
      <c r="R202" s="20">
        <f>Data!T202</f>
        <v>0</v>
      </c>
      <c r="S202" s="20">
        <f>Data!U202</f>
        <v>0</v>
      </c>
      <c r="T202" s="20">
        <f>Data!V202</f>
        <v>0</v>
      </c>
      <c r="U202" s="20">
        <f>Data!W202</f>
        <v>0</v>
      </c>
      <c r="V202" s="20">
        <f>Data!X202</f>
        <v>0</v>
      </c>
      <c r="W202" s="20">
        <f>Data!Y202</f>
        <v>0</v>
      </c>
      <c r="X202" s="20">
        <f>Data!Z202</f>
        <v>0</v>
      </c>
      <c r="Y202" s="22">
        <f>Data!AL202</f>
        <v>0</v>
      </c>
      <c r="Z202" s="20" t="str">
        <f>Data!AC202</f>
        <v>Accelerometer calibrated (1=calibrated)</v>
      </c>
      <c r="AA202" s="20" t="str">
        <f>Data!AE202</f>
        <v/>
      </c>
      <c r="AB202" s="20">
        <f>Data!AG202</f>
        <v>0</v>
      </c>
      <c r="AC202" s="20" t="str">
        <f>CONCATENATE(Data!AI202," ",Data!AJ202)</f>
        <v xml:space="preserve">1 </v>
      </c>
    </row>
    <row r="203" spans="1:29" ht="15">
      <c r="A203" s="20" t="str">
        <f>Data!A203</f>
        <v>デモ機</v>
      </c>
      <c r="B203" s="20" t="str">
        <f>Data!C203</f>
        <v>Entire Organization</v>
      </c>
      <c r="C203" s="20" t="str">
        <f>IF(Data!E203=0,"",Data!E203)</f>
        <v/>
      </c>
      <c r="D203" s="26">
        <f t="shared" si="3"/>
        <v>42065.873981481483</v>
      </c>
      <c r="E203" s="27">
        <f>Data!F203</f>
        <v>42065.873981481483</v>
      </c>
      <c r="F203" s="20" t="str">
        <f>Data!G203</f>
        <v>GpsRecord</v>
      </c>
      <c r="G203" s="20">
        <f>Data!H203</f>
        <v>4</v>
      </c>
      <c r="H203" s="20">
        <f>Data!I203</f>
        <v>139.39487</v>
      </c>
      <c r="I203" s="20">
        <f>Data!J203</f>
        <v>35.585839999999997</v>
      </c>
      <c r="J203" s="21" t="str">
        <f>IF(Data!K203=0,"",Data!K203)</f>
        <v>日本, 〒194-0213 東京都町田市常盤町 町田街道</v>
      </c>
      <c r="K203" s="22">
        <f>Data!L203</f>
        <v>0</v>
      </c>
      <c r="L203" s="21" t="str">
        <f>IF(Data!N203=0,"",Data!N203)</f>
        <v>CurveSpeed</v>
      </c>
      <c r="M203" s="20" t="b">
        <f>Data!O203</f>
        <v>1</v>
      </c>
      <c r="N203" s="20" t="b">
        <f>Data!P203</f>
        <v>0</v>
      </c>
      <c r="O203" s="20" t="b">
        <f>Data!Q203</f>
        <v>0</v>
      </c>
      <c r="P203" s="20" t="b">
        <f>Data!R203</f>
        <v>0</v>
      </c>
      <c r="Q203" s="20" t="b">
        <f>Data!S203</f>
        <v>0</v>
      </c>
      <c r="R203" s="20" t="b">
        <f>Data!T203</f>
        <v>0</v>
      </c>
      <c r="S203" s="20" t="b">
        <f>Data!U203</f>
        <v>0</v>
      </c>
      <c r="T203" s="20" t="b">
        <f>Data!V203</f>
        <v>0</v>
      </c>
      <c r="U203" s="20" t="b">
        <f>Data!W203</f>
        <v>0</v>
      </c>
      <c r="V203" s="20" t="b">
        <f>Data!X203</f>
        <v>1</v>
      </c>
      <c r="W203" s="20" t="b">
        <f>Data!Y203</f>
        <v>1</v>
      </c>
      <c r="X203" s="20">
        <f>Data!Z203</f>
        <v>0</v>
      </c>
      <c r="Y203" s="22">
        <f>Data!AL203</f>
        <v>0</v>
      </c>
      <c r="Z203" s="20">
        <f>Data!AC203</f>
        <v>0</v>
      </c>
      <c r="AA203" s="20">
        <f>Data!AE203</f>
        <v>0</v>
      </c>
      <c r="AB203" s="20">
        <f>Data!AG203</f>
        <v>0</v>
      </c>
      <c r="AC203" s="20" t="str">
        <f>CONCATENATE(Data!AI203," ",Data!AJ203)</f>
        <v xml:space="preserve"> </v>
      </c>
    </row>
    <row r="204" spans="1:29" ht="15">
      <c r="A204" s="20" t="str">
        <f>Data!A204</f>
        <v>デモ機</v>
      </c>
      <c r="B204" s="20" t="str">
        <f>Data!C204</f>
        <v>Entire Organization</v>
      </c>
      <c r="C204" s="20" t="str">
        <f>IF(Data!E204=0,"",Data!E204)</f>
        <v/>
      </c>
      <c r="D204" s="26">
        <f t="shared" si="3"/>
        <v>42065.874074074076</v>
      </c>
      <c r="E204" s="27">
        <f>Data!F204</f>
        <v>42065.874074074076</v>
      </c>
      <c r="F204" s="20" t="str">
        <f>Data!G204</f>
        <v>GpsRecord</v>
      </c>
      <c r="G204" s="20">
        <f>Data!H204</f>
        <v>0</v>
      </c>
      <c r="H204" s="20">
        <f>Data!I204</f>
        <v>139.39483999999999</v>
      </c>
      <c r="I204" s="20">
        <f>Data!J204</f>
        <v>35.585819999999998</v>
      </c>
      <c r="J204" s="21" t="str">
        <f>IF(Data!K204=0,"",Data!K204)</f>
        <v>日本, 〒194-0213 東京都町田市常盤町 町田街道</v>
      </c>
      <c r="K204" s="22">
        <f>Data!L204</f>
        <v>0</v>
      </c>
      <c r="L204" s="21" t="str">
        <f>IF(Data!N204=0,"",Data!N204)</f>
        <v>CurveZeroSpeed</v>
      </c>
      <c r="M204" s="20" t="b">
        <f>Data!O204</f>
        <v>1</v>
      </c>
      <c r="N204" s="20" t="b">
        <f>Data!P204</f>
        <v>0</v>
      </c>
      <c r="O204" s="20" t="b">
        <f>Data!Q204</f>
        <v>0</v>
      </c>
      <c r="P204" s="20" t="b">
        <f>Data!R204</f>
        <v>0</v>
      </c>
      <c r="Q204" s="20" t="b">
        <f>Data!S204</f>
        <v>0</v>
      </c>
      <c r="R204" s="20" t="b">
        <f>Data!T204</f>
        <v>0</v>
      </c>
      <c r="S204" s="20" t="b">
        <f>Data!U204</f>
        <v>0</v>
      </c>
      <c r="T204" s="20" t="b">
        <f>Data!V204</f>
        <v>0</v>
      </c>
      <c r="U204" s="20" t="b">
        <f>Data!W204</f>
        <v>0</v>
      </c>
      <c r="V204" s="20" t="b">
        <f>Data!X204</f>
        <v>1</v>
      </c>
      <c r="W204" s="20" t="b">
        <f>Data!Y204</f>
        <v>1</v>
      </c>
      <c r="X204" s="20">
        <f>Data!Z204</f>
        <v>0</v>
      </c>
      <c r="Y204" s="22">
        <f>Data!AL204</f>
        <v>0</v>
      </c>
      <c r="Z204" s="20">
        <f>Data!AC204</f>
        <v>0</v>
      </c>
      <c r="AA204" s="20">
        <f>Data!AE204</f>
        <v>0</v>
      </c>
      <c r="AB204" s="20">
        <f>Data!AG204</f>
        <v>0</v>
      </c>
      <c r="AC204" s="20" t="str">
        <f>CONCATENATE(Data!AI204," ",Data!AJ204)</f>
        <v xml:space="preserve"> </v>
      </c>
    </row>
    <row r="205" spans="1:29" ht="15">
      <c r="A205" s="20" t="str">
        <f>Data!A205</f>
        <v>デモ機</v>
      </c>
      <c r="B205" s="20" t="str">
        <f>Data!C205</f>
        <v>Entire Organization</v>
      </c>
      <c r="C205" s="20" t="str">
        <f>IF(Data!E205=0,"",Data!E205)</f>
        <v/>
      </c>
      <c r="D205" s="26">
        <f t="shared" si="3"/>
        <v>42065.874554594906</v>
      </c>
      <c r="E205" s="27">
        <f>Data!F205</f>
        <v>42065.874554594906</v>
      </c>
      <c r="F205" s="20" t="str">
        <f>Data!G205</f>
        <v>DebugRecord</v>
      </c>
      <c r="G205" s="20">
        <f>Data!H205</f>
        <v>0</v>
      </c>
      <c r="H205" s="20">
        <f>Data!I205</f>
        <v>0</v>
      </c>
      <c r="I205" s="20">
        <f>Data!J205</f>
        <v>0</v>
      </c>
      <c r="J205" s="21" t="str">
        <f>IF(Data!K205=0,"",Data!K205)</f>
        <v/>
      </c>
      <c r="K205" s="22">
        <f>Data!L205</f>
        <v>0</v>
      </c>
      <c r="L205" s="21" t="str">
        <f>IF(Data!N205=0,"",Data!N205)</f>
        <v>ReverseDetectionStarted</v>
      </c>
      <c r="M205" s="20">
        <f>Data!O205</f>
        <v>0</v>
      </c>
      <c r="N205" s="20">
        <f>Data!P205</f>
        <v>0</v>
      </c>
      <c r="O205" s="20">
        <f>Data!Q205</f>
        <v>0</v>
      </c>
      <c r="P205" s="20">
        <f>Data!R205</f>
        <v>0</v>
      </c>
      <c r="Q205" s="20">
        <f>Data!S205</f>
        <v>0</v>
      </c>
      <c r="R205" s="20">
        <f>Data!T205</f>
        <v>0</v>
      </c>
      <c r="S205" s="20">
        <f>Data!U205</f>
        <v>0</v>
      </c>
      <c r="T205" s="20">
        <f>Data!V205</f>
        <v>0</v>
      </c>
      <c r="U205" s="20">
        <f>Data!W205</f>
        <v>0</v>
      </c>
      <c r="V205" s="20">
        <f>Data!X205</f>
        <v>0</v>
      </c>
      <c r="W205" s="20">
        <f>Data!Y205</f>
        <v>0</v>
      </c>
      <c r="X205" s="20">
        <f>Data!Z205</f>
        <v>0</v>
      </c>
      <c r="Y205" s="22" t="str">
        <f>Data!AL205</f>
        <v>E7FFF7FF0500E9FF00000000000000</v>
      </c>
      <c r="Z205" s="20">
        <f>Data!AC205</f>
        <v>0</v>
      </c>
      <c r="AA205" s="20">
        <f>Data!AE205</f>
        <v>0</v>
      </c>
      <c r="AB205" s="20">
        <f>Data!AG205</f>
        <v>0</v>
      </c>
      <c r="AC205" s="20" t="str">
        <f>CONCATENATE(Data!AI205," ",Data!AJ205)</f>
        <v xml:space="preserve"> </v>
      </c>
    </row>
    <row r="206" spans="1:29" ht="15">
      <c r="A206" s="20" t="str">
        <f>Data!A206</f>
        <v>デモ機</v>
      </c>
      <c r="B206" s="20" t="str">
        <f>Data!C206</f>
        <v>Entire Organization</v>
      </c>
      <c r="C206" s="20" t="str">
        <f>IF(Data!E206=0,"",Data!E206)</f>
        <v/>
      </c>
      <c r="D206" s="26">
        <f t="shared" si="3"/>
        <v>42065.874566238424</v>
      </c>
      <c r="E206" s="27">
        <f>Data!F206</f>
        <v>42065.874566238424</v>
      </c>
      <c r="F206" s="20" t="str">
        <f>Data!G206</f>
        <v>DebugRecord</v>
      </c>
      <c r="G206" s="20">
        <f>Data!H206</f>
        <v>0</v>
      </c>
      <c r="H206" s="20">
        <f>Data!I206</f>
        <v>0</v>
      </c>
      <c r="I206" s="20">
        <f>Data!J206</f>
        <v>0</v>
      </c>
      <c r="J206" s="21" t="str">
        <f>IF(Data!K206=0,"",Data!K206)</f>
        <v/>
      </c>
      <c r="K206" s="22">
        <f>Data!L206</f>
        <v>0</v>
      </c>
      <c r="L206" s="21" t="str">
        <f>IF(Data!N206=0,"",Data!N206)</f>
        <v>ConfirmReverseDetectStage1</v>
      </c>
      <c r="M206" s="20">
        <f>Data!O206</f>
        <v>0</v>
      </c>
      <c r="N206" s="20">
        <f>Data!P206</f>
        <v>0</v>
      </c>
      <c r="O206" s="20">
        <f>Data!Q206</f>
        <v>0</v>
      </c>
      <c r="P206" s="20">
        <f>Data!R206</f>
        <v>0</v>
      </c>
      <c r="Q206" s="20">
        <f>Data!S206</f>
        <v>0</v>
      </c>
      <c r="R206" s="20">
        <f>Data!T206</f>
        <v>0</v>
      </c>
      <c r="S206" s="20">
        <f>Data!U206</f>
        <v>0</v>
      </c>
      <c r="T206" s="20">
        <f>Data!V206</f>
        <v>0</v>
      </c>
      <c r="U206" s="20">
        <f>Data!W206</f>
        <v>0</v>
      </c>
      <c r="V206" s="20">
        <f>Data!X206</f>
        <v>0</v>
      </c>
      <c r="W206" s="20">
        <f>Data!Y206</f>
        <v>0</v>
      </c>
      <c r="X206" s="20">
        <f>Data!Z206</f>
        <v>0</v>
      </c>
      <c r="Y206" s="22" t="str">
        <f>Data!AL206</f>
        <v>E7FFFFFF0000000000000000000000</v>
      </c>
      <c r="Z206" s="20">
        <f>Data!AC206</f>
        <v>0</v>
      </c>
      <c r="AA206" s="20">
        <f>Data!AE206</f>
        <v>0</v>
      </c>
      <c r="AB206" s="20">
        <f>Data!AG206</f>
        <v>0</v>
      </c>
      <c r="AC206" s="20" t="str">
        <f>CONCATENATE(Data!AI206," ",Data!AJ206)</f>
        <v xml:space="preserve"> </v>
      </c>
    </row>
    <row r="207" spans="1:29" ht="15">
      <c r="A207" s="20" t="str">
        <f>Data!A207</f>
        <v>デモ機</v>
      </c>
      <c r="B207" s="20" t="str">
        <f>Data!C207</f>
        <v>Entire Organization</v>
      </c>
      <c r="C207" s="20" t="str">
        <f>IF(Data!E207=0,"",Data!E207)</f>
        <v/>
      </c>
      <c r="D207" s="26">
        <f t="shared" si="3"/>
        <v>42065.874572881941</v>
      </c>
      <c r="E207" s="27">
        <f>Data!F207</f>
        <v>42065.874572881941</v>
      </c>
      <c r="F207" s="20" t="str">
        <f>Data!G207</f>
        <v>DebugRecord</v>
      </c>
      <c r="G207" s="20">
        <f>Data!H207</f>
        <v>0</v>
      </c>
      <c r="H207" s="20">
        <f>Data!I207</f>
        <v>0</v>
      </c>
      <c r="I207" s="20">
        <f>Data!J207</f>
        <v>0</v>
      </c>
      <c r="J207" s="21" t="str">
        <f>IF(Data!K207=0,"",Data!K207)</f>
        <v/>
      </c>
      <c r="K207" s="22">
        <f>Data!L207</f>
        <v>0</v>
      </c>
      <c r="L207" s="21" t="str">
        <f>IF(Data!N207=0,"",Data!N207)</f>
        <v>ReverseNotConfirmedDueToZeroSpeed</v>
      </c>
      <c r="M207" s="20">
        <f>Data!O207</f>
        <v>0</v>
      </c>
      <c r="N207" s="20">
        <f>Data!P207</f>
        <v>0</v>
      </c>
      <c r="O207" s="20">
        <f>Data!Q207</f>
        <v>0</v>
      </c>
      <c r="P207" s="20">
        <f>Data!R207</f>
        <v>0</v>
      </c>
      <c r="Q207" s="20">
        <f>Data!S207</f>
        <v>0</v>
      </c>
      <c r="R207" s="20">
        <f>Data!T207</f>
        <v>0</v>
      </c>
      <c r="S207" s="20">
        <f>Data!U207</f>
        <v>0</v>
      </c>
      <c r="T207" s="20">
        <f>Data!V207</f>
        <v>0</v>
      </c>
      <c r="U207" s="20">
        <f>Data!W207</f>
        <v>0</v>
      </c>
      <c r="V207" s="20">
        <f>Data!X207</f>
        <v>0</v>
      </c>
      <c r="W207" s="20">
        <f>Data!Y207</f>
        <v>0</v>
      </c>
      <c r="X207" s="20">
        <f>Data!Z207</f>
        <v>0</v>
      </c>
      <c r="Y207" s="22" t="str">
        <f>Data!AL207</f>
        <v>3F0000000000000000000000000000</v>
      </c>
      <c r="Z207" s="20">
        <f>Data!AC207</f>
        <v>0</v>
      </c>
      <c r="AA207" s="20">
        <f>Data!AE207</f>
        <v>0</v>
      </c>
      <c r="AB207" s="20">
        <f>Data!AG207</f>
        <v>0</v>
      </c>
      <c r="AC207" s="20" t="str">
        <f>CONCATENATE(Data!AI207," ",Data!AJ207)</f>
        <v xml:space="preserve"> </v>
      </c>
    </row>
    <row r="208" spans="1:29" ht="15">
      <c r="A208" s="20" t="str">
        <f>Data!A208</f>
        <v>デモ機</v>
      </c>
      <c r="B208" s="20" t="str">
        <f>Data!C208</f>
        <v>Entire Organization</v>
      </c>
      <c r="C208" s="20" t="str">
        <f>IF(Data!E208=0,"",Data!E208)</f>
        <v/>
      </c>
      <c r="D208" s="26">
        <f t="shared" si="3"/>
        <v>42065.874584178244</v>
      </c>
      <c r="E208" s="27">
        <f>Data!F208</f>
        <v>42065.874584178244</v>
      </c>
      <c r="F208" s="20" t="str">
        <f>Data!G208</f>
        <v>DebugRecord</v>
      </c>
      <c r="G208" s="20">
        <f>Data!H208</f>
        <v>0</v>
      </c>
      <c r="H208" s="20">
        <f>Data!I208</f>
        <v>0</v>
      </c>
      <c r="I208" s="20">
        <f>Data!J208</f>
        <v>0</v>
      </c>
      <c r="J208" s="21" t="str">
        <f>IF(Data!K208=0,"",Data!K208)</f>
        <v/>
      </c>
      <c r="K208" s="22">
        <f>Data!L208</f>
        <v>0</v>
      </c>
      <c r="L208" s="21" t="str">
        <f>IF(Data!N208=0,"",Data!N208)</f>
        <v>ReverseDetectionStarted</v>
      </c>
      <c r="M208" s="20">
        <f>Data!O208</f>
        <v>0</v>
      </c>
      <c r="N208" s="20">
        <f>Data!P208</f>
        <v>0</v>
      </c>
      <c r="O208" s="20">
        <f>Data!Q208</f>
        <v>0</v>
      </c>
      <c r="P208" s="20">
        <f>Data!R208</f>
        <v>0</v>
      </c>
      <c r="Q208" s="20">
        <f>Data!S208</f>
        <v>0</v>
      </c>
      <c r="R208" s="20">
        <f>Data!T208</f>
        <v>0</v>
      </c>
      <c r="S208" s="20">
        <f>Data!U208</f>
        <v>0</v>
      </c>
      <c r="T208" s="20">
        <f>Data!V208</f>
        <v>0</v>
      </c>
      <c r="U208" s="20">
        <f>Data!W208</f>
        <v>0</v>
      </c>
      <c r="V208" s="20">
        <f>Data!X208</f>
        <v>0</v>
      </c>
      <c r="W208" s="20">
        <f>Data!Y208</f>
        <v>0</v>
      </c>
      <c r="X208" s="20">
        <f>Data!Z208</f>
        <v>0</v>
      </c>
      <c r="Y208" s="22" t="str">
        <f>Data!AL208</f>
        <v>000000000700F4FF00000000000000</v>
      </c>
      <c r="Z208" s="20">
        <f>Data!AC208</f>
        <v>0</v>
      </c>
      <c r="AA208" s="20">
        <f>Data!AE208</f>
        <v>0</v>
      </c>
      <c r="AB208" s="20">
        <f>Data!AG208</f>
        <v>0</v>
      </c>
      <c r="AC208" s="20" t="str">
        <f>CONCATENATE(Data!AI208," ",Data!AJ208)</f>
        <v xml:space="preserve"> </v>
      </c>
    </row>
    <row r="209" spans="1:29" ht="15">
      <c r="A209" s="20" t="str">
        <f>Data!A209</f>
        <v>デモ機</v>
      </c>
      <c r="B209" s="20" t="str">
        <f>Data!C209</f>
        <v>Entire Organization</v>
      </c>
      <c r="C209" s="20" t="str">
        <f>IF(Data!E209=0,"",Data!E209)</f>
        <v/>
      </c>
      <c r="D209" s="26">
        <f t="shared" si="3"/>
        <v>42065.874589270832</v>
      </c>
      <c r="E209" s="27">
        <f>Data!F209</f>
        <v>42065.874589270832</v>
      </c>
      <c r="F209" s="20" t="str">
        <f>Data!G209</f>
        <v>DebugRecord</v>
      </c>
      <c r="G209" s="20">
        <f>Data!H209</f>
        <v>0</v>
      </c>
      <c r="H209" s="20">
        <f>Data!I209</f>
        <v>0</v>
      </c>
      <c r="I209" s="20">
        <f>Data!J209</f>
        <v>0</v>
      </c>
      <c r="J209" s="21" t="str">
        <f>IF(Data!K209=0,"",Data!K209)</f>
        <v/>
      </c>
      <c r="K209" s="22">
        <f>Data!L209</f>
        <v>0</v>
      </c>
      <c r="L209" s="21" t="str">
        <f>IF(Data!N209=0,"",Data!N209)</f>
        <v>ReverseNotConfirmedDueToZeroSpeed</v>
      </c>
      <c r="M209" s="20">
        <f>Data!O209</f>
        <v>0</v>
      </c>
      <c r="N209" s="20">
        <f>Data!P209</f>
        <v>0</v>
      </c>
      <c r="O209" s="20">
        <f>Data!Q209</f>
        <v>0</v>
      </c>
      <c r="P209" s="20">
        <f>Data!R209</f>
        <v>0</v>
      </c>
      <c r="Q209" s="20">
        <f>Data!S209</f>
        <v>0</v>
      </c>
      <c r="R209" s="20">
        <f>Data!T209</f>
        <v>0</v>
      </c>
      <c r="S209" s="20">
        <f>Data!U209</f>
        <v>0</v>
      </c>
      <c r="T209" s="20">
        <f>Data!V209</f>
        <v>0</v>
      </c>
      <c r="U209" s="20">
        <f>Data!W209</f>
        <v>0</v>
      </c>
      <c r="V209" s="20">
        <f>Data!X209</f>
        <v>0</v>
      </c>
      <c r="W209" s="20">
        <f>Data!Y209</f>
        <v>0</v>
      </c>
      <c r="X209" s="20">
        <f>Data!Z209</f>
        <v>0</v>
      </c>
      <c r="Y209" s="22" t="str">
        <f>Data!AL209</f>
        <v>160000000000000000000000000000</v>
      </c>
      <c r="Z209" s="20">
        <f>Data!AC209</f>
        <v>0</v>
      </c>
      <c r="AA209" s="20">
        <f>Data!AE209</f>
        <v>0</v>
      </c>
      <c r="AB209" s="20">
        <f>Data!AG209</f>
        <v>0</v>
      </c>
      <c r="AC209" s="20" t="str">
        <f>CONCATENATE(Data!AI209," ",Data!AJ209)</f>
        <v xml:space="preserve"> </v>
      </c>
    </row>
    <row r="210" spans="1:29" ht="15">
      <c r="A210" s="20" t="str">
        <f>Data!A210</f>
        <v>デモ機</v>
      </c>
      <c r="B210" s="20" t="str">
        <f>Data!C210</f>
        <v>Entire Organization</v>
      </c>
      <c r="C210" s="20" t="str">
        <f>IF(Data!E210=0,"",Data!E210)</f>
        <v/>
      </c>
      <c r="D210" s="26">
        <f t="shared" si="3"/>
        <v>42065.874710648146</v>
      </c>
      <c r="E210" s="27">
        <f>Data!F210</f>
        <v>42065.874710648146</v>
      </c>
      <c r="F210" s="20" t="str">
        <f>Data!G210</f>
        <v>GpsRecord</v>
      </c>
      <c r="G210" s="20">
        <f>Data!H210</f>
        <v>2</v>
      </c>
      <c r="H210" s="20">
        <f>Data!I210</f>
        <v>139.39482000000001</v>
      </c>
      <c r="I210" s="20">
        <f>Data!J210</f>
        <v>35.585900000000002</v>
      </c>
      <c r="J210" s="21" t="str">
        <f>IF(Data!K210=0,"",Data!K210)</f>
        <v>日本, 〒194-0213 東京都町田市常盤町 町田街道</v>
      </c>
      <c r="K210" s="22">
        <f>Data!L210</f>
        <v>0</v>
      </c>
      <c r="L210" s="21" t="str">
        <f>IF(Data!N210=0,"",Data!N210)</f>
        <v>CurveZeroSpeed</v>
      </c>
      <c r="M210" s="20" t="b">
        <f>Data!O210</f>
        <v>1</v>
      </c>
      <c r="N210" s="20" t="b">
        <f>Data!P210</f>
        <v>0</v>
      </c>
      <c r="O210" s="20" t="b">
        <f>Data!Q210</f>
        <v>0</v>
      </c>
      <c r="P210" s="20" t="b">
        <f>Data!R210</f>
        <v>0</v>
      </c>
      <c r="Q210" s="20" t="b">
        <f>Data!S210</f>
        <v>0</v>
      </c>
      <c r="R210" s="20" t="b">
        <f>Data!T210</f>
        <v>0</v>
      </c>
      <c r="S210" s="20" t="b">
        <f>Data!U210</f>
        <v>0</v>
      </c>
      <c r="T210" s="20" t="b">
        <f>Data!V210</f>
        <v>0</v>
      </c>
      <c r="U210" s="20" t="b">
        <f>Data!W210</f>
        <v>0</v>
      </c>
      <c r="V210" s="20" t="b">
        <f>Data!X210</f>
        <v>1</v>
      </c>
      <c r="W210" s="20" t="b">
        <f>Data!Y210</f>
        <v>1</v>
      </c>
      <c r="X210" s="20">
        <f>Data!Z210</f>
        <v>0</v>
      </c>
      <c r="Y210" s="22">
        <f>Data!AL210</f>
        <v>0</v>
      </c>
      <c r="Z210" s="20">
        <f>Data!AC210</f>
        <v>0</v>
      </c>
      <c r="AA210" s="20">
        <f>Data!AE210</f>
        <v>0</v>
      </c>
      <c r="AB210" s="20">
        <f>Data!AG210</f>
        <v>0</v>
      </c>
      <c r="AC210" s="20" t="str">
        <f>CONCATENATE(Data!AI210," ",Data!AJ210)</f>
        <v xml:space="preserve"> </v>
      </c>
    </row>
    <row r="211" spans="1:29" ht="15">
      <c r="A211" s="20" t="str">
        <f>Data!A211</f>
        <v>デモ機</v>
      </c>
      <c r="B211" s="20" t="str">
        <f>Data!C211</f>
        <v>Entire Organization</v>
      </c>
      <c r="C211" s="20" t="str">
        <f>IF(Data!E211=0,"",Data!E211)</f>
        <v/>
      </c>
      <c r="D211" s="26">
        <f t="shared" si="3"/>
        <v>42065.874745370369</v>
      </c>
      <c r="E211" s="27">
        <f>Data!F211</f>
        <v>42065.874745370369</v>
      </c>
      <c r="F211" s="20" t="str">
        <f>Data!G211</f>
        <v>GpsRecord</v>
      </c>
      <c r="G211" s="20">
        <f>Data!H211</f>
        <v>0</v>
      </c>
      <c r="H211" s="20">
        <f>Data!I211</f>
        <v>139.39482000000001</v>
      </c>
      <c r="I211" s="20">
        <f>Data!J211</f>
        <v>35.58587</v>
      </c>
      <c r="J211" s="21" t="str">
        <f>IF(Data!K211=0,"",Data!K211)</f>
        <v>日本, 〒194-0213 東京都町田市常盤町 町田街道</v>
      </c>
      <c r="K211" s="22">
        <f>Data!L211</f>
        <v>0</v>
      </c>
      <c r="L211" s="21" t="str">
        <f>IF(Data!N211=0,"",Data!N211)</f>
        <v>CurveZeroSpeed</v>
      </c>
      <c r="M211" s="20" t="b">
        <f>Data!O211</f>
        <v>1</v>
      </c>
      <c r="N211" s="20" t="b">
        <f>Data!P211</f>
        <v>0</v>
      </c>
      <c r="O211" s="20" t="b">
        <f>Data!Q211</f>
        <v>0</v>
      </c>
      <c r="P211" s="20" t="b">
        <f>Data!R211</f>
        <v>0</v>
      </c>
      <c r="Q211" s="20" t="b">
        <f>Data!S211</f>
        <v>0</v>
      </c>
      <c r="R211" s="20" t="b">
        <f>Data!T211</f>
        <v>0</v>
      </c>
      <c r="S211" s="20" t="b">
        <f>Data!U211</f>
        <v>0</v>
      </c>
      <c r="T211" s="20" t="b">
        <f>Data!V211</f>
        <v>0</v>
      </c>
      <c r="U211" s="20" t="b">
        <f>Data!W211</f>
        <v>0</v>
      </c>
      <c r="V211" s="20" t="b">
        <f>Data!X211</f>
        <v>1</v>
      </c>
      <c r="W211" s="20" t="b">
        <f>Data!Y211</f>
        <v>1</v>
      </c>
      <c r="X211" s="20">
        <f>Data!Z211</f>
        <v>0</v>
      </c>
      <c r="Y211" s="22">
        <f>Data!AL211</f>
        <v>0</v>
      </c>
      <c r="Z211" s="20">
        <f>Data!AC211</f>
        <v>0</v>
      </c>
      <c r="AA211" s="20">
        <f>Data!AE211</f>
        <v>0</v>
      </c>
      <c r="AB211" s="20">
        <f>Data!AG211</f>
        <v>0</v>
      </c>
      <c r="AC211" s="20" t="str">
        <f>CONCATENATE(Data!AI211," ",Data!AJ211)</f>
        <v xml:space="preserve"> </v>
      </c>
    </row>
    <row r="212" spans="1:29" ht="15">
      <c r="A212" s="20" t="str">
        <f>Data!A212</f>
        <v>デモ機</v>
      </c>
      <c r="B212" s="20" t="str">
        <f>Data!C212</f>
        <v>Entire Organization</v>
      </c>
      <c r="C212" s="20" t="str">
        <f>IF(Data!E212=0,"",Data!E212)</f>
        <v/>
      </c>
      <c r="D212" s="26">
        <f t="shared" si="3"/>
        <v>42065.874756944446</v>
      </c>
      <c r="E212" s="27">
        <f>Data!F212</f>
        <v>42065.874756944446</v>
      </c>
      <c r="F212" s="20" t="str">
        <f>Data!G212</f>
        <v>GpsRecord</v>
      </c>
      <c r="G212" s="20">
        <f>Data!H212</f>
        <v>1</v>
      </c>
      <c r="H212" s="20">
        <f>Data!I212</f>
        <v>139.39482000000001</v>
      </c>
      <c r="I212" s="20">
        <f>Data!J212</f>
        <v>35.58587</v>
      </c>
      <c r="J212" s="21" t="str">
        <f>IF(Data!K212=0,"",Data!K212)</f>
        <v>日本, 〒194-0213 東京都町田市常盤町 町田街道</v>
      </c>
      <c r="K212" s="22">
        <f>Data!L212</f>
        <v>0</v>
      </c>
      <c r="L212" s="21" t="str">
        <f>IF(Data!N212=0,"",Data!N212)</f>
        <v>CurveZeroSpeed</v>
      </c>
      <c r="M212" s="20" t="b">
        <f>Data!O212</f>
        <v>1</v>
      </c>
      <c r="N212" s="20" t="b">
        <f>Data!P212</f>
        <v>0</v>
      </c>
      <c r="O212" s="20" t="b">
        <f>Data!Q212</f>
        <v>0</v>
      </c>
      <c r="P212" s="20" t="b">
        <f>Data!R212</f>
        <v>0</v>
      </c>
      <c r="Q212" s="20" t="b">
        <f>Data!S212</f>
        <v>0</v>
      </c>
      <c r="R212" s="20" t="b">
        <f>Data!T212</f>
        <v>0</v>
      </c>
      <c r="S212" s="20" t="b">
        <f>Data!U212</f>
        <v>0</v>
      </c>
      <c r="T212" s="20" t="b">
        <f>Data!V212</f>
        <v>0</v>
      </c>
      <c r="U212" s="20" t="b">
        <f>Data!W212</f>
        <v>0</v>
      </c>
      <c r="V212" s="20" t="b">
        <f>Data!X212</f>
        <v>1</v>
      </c>
      <c r="W212" s="20" t="b">
        <f>Data!Y212</f>
        <v>1</v>
      </c>
      <c r="X212" s="20">
        <f>Data!Z212</f>
        <v>0</v>
      </c>
      <c r="Y212" s="22">
        <f>Data!AL212</f>
        <v>0</v>
      </c>
      <c r="Z212" s="20">
        <f>Data!AC212</f>
        <v>0</v>
      </c>
      <c r="AA212" s="20">
        <f>Data!AE212</f>
        <v>0</v>
      </c>
      <c r="AB212" s="20">
        <f>Data!AG212</f>
        <v>0</v>
      </c>
      <c r="AC212" s="20" t="str">
        <f>CONCATENATE(Data!AI212," ",Data!AJ212)</f>
        <v xml:space="preserve"> </v>
      </c>
    </row>
    <row r="213" spans="1:29" ht="15">
      <c r="A213" s="20" t="str">
        <f>Data!A213</f>
        <v>デモ機</v>
      </c>
      <c r="B213" s="20" t="str">
        <f>Data!C213</f>
        <v>Entire Organization</v>
      </c>
      <c r="C213" s="20" t="str">
        <f>IF(Data!E213=0,"",Data!E213)</f>
        <v/>
      </c>
      <c r="D213" s="26">
        <f t="shared" si="3"/>
        <v>42065.874768518515</v>
      </c>
      <c r="E213" s="27">
        <f>Data!F213</f>
        <v>42065.874768518515</v>
      </c>
      <c r="F213" s="20" t="str">
        <f>Data!G213</f>
        <v>GpsRecord</v>
      </c>
      <c r="G213" s="20">
        <f>Data!H213</f>
        <v>0</v>
      </c>
      <c r="H213" s="20">
        <f>Data!I213</f>
        <v>139.39482000000001</v>
      </c>
      <c r="I213" s="20">
        <f>Data!J213</f>
        <v>35.585900000000002</v>
      </c>
      <c r="J213" s="21" t="str">
        <f>IF(Data!K213=0,"",Data!K213)</f>
        <v>日本, 〒194-0213 東京都町田市常盤町 町田街道</v>
      </c>
      <c r="K213" s="22">
        <f>Data!L213</f>
        <v>0</v>
      </c>
      <c r="L213" s="21" t="str">
        <f>IF(Data!N213=0,"",Data!N213)</f>
        <v>CurveZeroSpeed</v>
      </c>
      <c r="M213" s="20" t="b">
        <f>Data!O213</f>
        <v>1</v>
      </c>
      <c r="N213" s="20" t="b">
        <f>Data!P213</f>
        <v>0</v>
      </c>
      <c r="O213" s="20" t="b">
        <f>Data!Q213</f>
        <v>0</v>
      </c>
      <c r="P213" s="20" t="b">
        <f>Data!R213</f>
        <v>0</v>
      </c>
      <c r="Q213" s="20" t="b">
        <f>Data!S213</f>
        <v>0</v>
      </c>
      <c r="R213" s="20" t="b">
        <f>Data!T213</f>
        <v>0</v>
      </c>
      <c r="S213" s="20" t="b">
        <f>Data!U213</f>
        <v>0</v>
      </c>
      <c r="T213" s="20" t="b">
        <f>Data!V213</f>
        <v>0</v>
      </c>
      <c r="U213" s="20" t="b">
        <f>Data!W213</f>
        <v>0</v>
      </c>
      <c r="V213" s="20" t="b">
        <f>Data!X213</f>
        <v>1</v>
      </c>
      <c r="W213" s="20" t="b">
        <f>Data!Y213</f>
        <v>1</v>
      </c>
      <c r="X213" s="20">
        <f>Data!Z213</f>
        <v>0</v>
      </c>
      <c r="Y213" s="22">
        <f>Data!AL213</f>
        <v>0</v>
      </c>
      <c r="Z213" s="20">
        <f>Data!AC213</f>
        <v>0</v>
      </c>
      <c r="AA213" s="20">
        <f>Data!AE213</f>
        <v>0</v>
      </c>
      <c r="AB213" s="20">
        <f>Data!AG213</f>
        <v>0</v>
      </c>
      <c r="AC213" s="20" t="str">
        <f>CONCATENATE(Data!AI213," ",Data!AJ213)</f>
        <v xml:space="preserve"> </v>
      </c>
    </row>
    <row r="214" spans="1:29" ht="15">
      <c r="A214" s="20" t="str">
        <f>Data!A214</f>
        <v>デモ機</v>
      </c>
      <c r="B214" s="20" t="str">
        <f>Data!C214</f>
        <v>Entire Organization</v>
      </c>
      <c r="C214" s="20" t="str">
        <f>IF(Data!E214=0,"",Data!E214)</f>
        <v/>
      </c>
      <c r="D214" s="26">
        <f t="shared" si="3"/>
        <v>42065.874780092592</v>
      </c>
      <c r="E214" s="27">
        <f>Data!F214</f>
        <v>42065.874780092592</v>
      </c>
      <c r="F214" s="20" t="str">
        <f>Data!G214</f>
        <v>GpsRecord</v>
      </c>
      <c r="G214" s="20">
        <f>Data!H214</f>
        <v>1</v>
      </c>
      <c r="H214" s="20">
        <f>Data!I214</f>
        <v>139.39482000000001</v>
      </c>
      <c r="I214" s="20">
        <f>Data!J214</f>
        <v>35.585900000000002</v>
      </c>
      <c r="J214" s="21" t="str">
        <f>IF(Data!K214=0,"",Data!K214)</f>
        <v>日本, 〒194-0213 東京都町田市常盤町 町田街道</v>
      </c>
      <c r="K214" s="22">
        <f>Data!L214</f>
        <v>0</v>
      </c>
      <c r="L214" s="21" t="str">
        <f>IF(Data!N214=0,"",Data!N214)</f>
        <v>CurveZeroSpeed</v>
      </c>
      <c r="M214" s="20" t="b">
        <f>Data!O214</f>
        <v>1</v>
      </c>
      <c r="N214" s="20" t="b">
        <f>Data!P214</f>
        <v>0</v>
      </c>
      <c r="O214" s="20" t="b">
        <f>Data!Q214</f>
        <v>0</v>
      </c>
      <c r="P214" s="20" t="b">
        <f>Data!R214</f>
        <v>0</v>
      </c>
      <c r="Q214" s="20" t="b">
        <f>Data!S214</f>
        <v>0</v>
      </c>
      <c r="R214" s="20" t="b">
        <f>Data!T214</f>
        <v>0</v>
      </c>
      <c r="S214" s="20" t="b">
        <f>Data!U214</f>
        <v>0</v>
      </c>
      <c r="T214" s="20" t="b">
        <f>Data!V214</f>
        <v>0</v>
      </c>
      <c r="U214" s="20" t="b">
        <f>Data!W214</f>
        <v>0</v>
      </c>
      <c r="V214" s="20" t="b">
        <f>Data!X214</f>
        <v>1</v>
      </c>
      <c r="W214" s="20" t="b">
        <f>Data!Y214</f>
        <v>1</v>
      </c>
      <c r="X214" s="20">
        <f>Data!Z214</f>
        <v>0</v>
      </c>
      <c r="Y214" s="22">
        <f>Data!AL214</f>
        <v>0</v>
      </c>
      <c r="Z214" s="20">
        <f>Data!AC214</f>
        <v>0</v>
      </c>
      <c r="AA214" s="20">
        <f>Data!AE214</f>
        <v>0</v>
      </c>
      <c r="AB214" s="20">
        <f>Data!AG214</f>
        <v>0</v>
      </c>
      <c r="AC214" s="20" t="str">
        <f>CONCATENATE(Data!AI214," ",Data!AJ214)</f>
        <v xml:space="preserve"> </v>
      </c>
    </row>
    <row r="215" spans="1:29" ht="15">
      <c r="A215" s="20" t="str">
        <f>Data!A215</f>
        <v>デモ機</v>
      </c>
      <c r="B215" s="20" t="str">
        <f>Data!C215</f>
        <v>Entire Organization</v>
      </c>
      <c r="C215" s="20" t="str">
        <f>IF(Data!E215=0,"",Data!E215)</f>
        <v/>
      </c>
      <c r="D215" s="26">
        <f t="shared" si="3"/>
        <v>42065.874791666669</v>
      </c>
      <c r="E215" s="27">
        <f>Data!F215</f>
        <v>42065.874791666669</v>
      </c>
      <c r="F215" s="20" t="str">
        <f>Data!G215</f>
        <v>GpsRecord</v>
      </c>
      <c r="G215" s="20">
        <f>Data!H215</f>
        <v>0</v>
      </c>
      <c r="H215" s="20">
        <f>Data!I215</f>
        <v>139.39482000000001</v>
      </c>
      <c r="I215" s="20">
        <f>Data!J215</f>
        <v>35.585900000000002</v>
      </c>
      <c r="J215" s="21" t="str">
        <f>IF(Data!K215=0,"",Data!K215)</f>
        <v>日本, 〒194-0213 東京都町田市常盤町 町田街道</v>
      </c>
      <c r="K215" s="22">
        <f>Data!L215</f>
        <v>0</v>
      </c>
      <c r="L215" s="21" t="str">
        <f>IF(Data!N215=0,"",Data!N215)</f>
        <v>CurveZeroSpeed</v>
      </c>
      <c r="M215" s="20" t="b">
        <f>Data!O215</f>
        <v>1</v>
      </c>
      <c r="N215" s="20" t="b">
        <f>Data!P215</f>
        <v>0</v>
      </c>
      <c r="O215" s="20" t="b">
        <f>Data!Q215</f>
        <v>0</v>
      </c>
      <c r="P215" s="20" t="b">
        <f>Data!R215</f>
        <v>0</v>
      </c>
      <c r="Q215" s="20" t="b">
        <f>Data!S215</f>
        <v>0</v>
      </c>
      <c r="R215" s="20" t="b">
        <f>Data!T215</f>
        <v>0</v>
      </c>
      <c r="S215" s="20" t="b">
        <f>Data!U215</f>
        <v>0</v>
      </c>
      <c r="T215" s="20" t="b">
        <f>Data!V215</f>
        <v>0</v>
      </c>
      <c r="U215" s="20" t="b">
        <f>Data!W215</f>
        <v>0</v>
      </c>
      <c r="V215" s="20" t="b">
        <f>Data!X215</f>
        <v>1</v>
      </c>
      <c r="W215" s="20" t="b">
        <f>Data!Y215</f>
        <v>1</v>
      </c>
      <c r="X215" s="20">
        <f>Data!Z215</f>
        <v>0</v>
      </c>
      <c r="Y215" s="22">
        <f>Data!AL215</f>
        <v>0</v>
      </c>
      <c r="Z215" s="20">
        <f>Data!AC215</f>
        <v>0</v>
      </c>
      <c r="AA215" s="20">
        <f>Data!AE215</f>
        <v>0</v>
      </c>
      <c r="AB215" s="20">
        <f>Data!AG215</f>
        <v>0</v>
      </c>
      <c r="AC215" s="20" t="str">
        <f>CONCATENATE(Data!AI215," ",Data!AJ215)</f>
        <v xml:space="preserve"> </v>
      </c>
    </row>
    <row r="216" spans="1:29" ht="15">
      <c r="A216" s="20" t="str">
        <f>Data!A216</f>
        <v>デモ機</v>
      </c>
      <c r="B216" s="20" t="str">
        <f>Data!C216</f>
        <v>Entire Organization</v>
      </c>
      <c r="C216" s="20" t="str">
        <f>IF(Data!E216=0,"",Data!E216)</f>
        <v/>
      </c>
      <c r="D216" s="26">
        <f t="shared" si="3"/>
        <v>42065.874861111108</v>
      </c>
      <c r="E216" s="27">
        <f>Data!F216</f>
        <v>42065.874861111108</v>
      </c>
      <c r="F216" s="20" t="str">
        <f>Data!G216</f>
        <v>GpsRecord</v>
      </c>
      <c r="G216" s="20">
        <f>Data!H216</f>
        <v>0</v>
      </c>
      <c r="H216" s="20">
        <f>Data!I216</f>
        <v>139.39482000000001</v>
      </c>
      <c r="I216" s="20">
        <f>Data!J216</f>
        <v>35.58587</v>
      </c>
      <c r="J216" s="21" t="str">
        <f>IF(Data!K216=0,"",Data!K216)</f>
        <v>日本, 〒194-0213 東京都町田市常盤町 町田街道</v>
      </c>
      <c r="K216" s="22">
        <f>Data!L216</f>
        <v>0</v>
      </c>
      <c r="L216" s="21" t="str">
        <f>IF(Data!N216=0,"",Data!N216)</f>
        <v>CurveTimeOut</v>
      </c>
      <c r="M216" s="20" t="b">
        <f>Data!O216</f>
        <v>1</v>
      </c>
      <c r="N216" s="20" t="b">
        <f>Data!P216</f>
        <v>0</v>
      </c>
      <c r="O216" s="20" t="b">
        <f>Data!Q216</f>
        <v>0</v>
      </c>
      <c r="P216" s="20" t="b">
        <f>Data!R216</f>
        <v>0</v>
      </c>
      <c r="Q216" s="20" t="b">
        <f>Data!S216</f>
        <v>0</v>
      </c>
      <c r="R216" s="20" t="b">
        <f>Data!T216</f>
        <v>0</v>
      </c>
      <c r="S216" s="20" t="b">
        <f>Data!U216</f>
        <v>0</v>
      </c>
      <c r="T216" s="20" t="b">
        <f>Data!V216</f>
        <v>0</v>
      </c>
      <c r="U216" s="20" t="b">
        <f>Data!W216</f>
        <v>0</v>
      </c>
      <c r="V216" s="20" t="b">
        <f>Data!X216</f>
        <v>1</v>
      </c>
      <c r="W216" s="20" t="b">
        <f>Data!Y216</f>
        <v>1</v>
      </c>
      <c r="X216" s="20">
        <f>Data!Z216</f>
        <v>0</v>
      </c>
      <c r="Y216" s="22">
        <f>Data!AL216</f>
        <v>0</v>
      </c>
      <c r="Z216" s="20">
        <f>Data!AC216</f>
        <v>0</v>
      </c>
      <c r="AA216" s="20">
        <f>Data!AE216</f>
        <v>0</v>
      </c>
      <c r="AB216" s="20">
        <f>Data!AG216</f>
        <v>0</v>
      </c>
      <c r="AC216" s="20" t="str">
        <f>CONCATENATE(Data!AI216," ",Data!AJ216)</f>
        <v xml:space="preserve"> </v>
      </c>
    </row>
    <row r="217" spans="1:29" ht="15">
      <c r="A217" s="20" t="str">
        <f>Data!A217</f>
        <v>デモ機</v>
      </c>
      <c r="B217" s="20" t="str">
        <f>Data!C217</f>
        <v>Entire Organization</v>
      </c>
      <c r="C217" s="20" t="str">
        <f>IF(Data!E217=0,"",Data!E217)</f>
        <v/>
      </c>
      <c r="D217" s="26">
        <f t="shared" si="3"/>
        <v>42065.874919942129</v>
      </c>
      <c r="E217" s="27">
        <f>Data!F217</f>
        <v>42065.874919942129</v>
      </c>
      <c r="F217" s="20" t="str">
        <f>Data!G217</f>
        <v>DebugRecord</v>
      </c>
      <c r="G217" s="20">
        <f>Data!H217</f>
        <v>0</v>
      </c>
      <c r="H217" s="20">
        <f>Data!I217</f>
        <v>0</v>
      </c>
      <c r="I217" s="20">
        <f>Data!J217</f>
        <v>0</v>
      </c>
      <c r="J217" s="21" t="str">
        <f>IF(Data!K217=0,"",Data!K217)</f>
        <v/>
      </c>
      <c r="K217" s="22">
        <f>Data!L217</f>
        <v>0</v>
      </c>
      <c r="L217" s="21" t="str">
        <f>IF(Data!N217=0,"",Data!N217)</f>
        <v>ReverseDetectionStarted</v>
      </c>
      <c r="M217" s="20">
        <f>Data!O217</f>
        <v>0</v>
      </c>
      <c r="N217" s="20">
        <f>Data!P217</f>
        <v>0</v>
      </c>
      <c r="O217" s="20">
        <f>Data!Q217</f>
        <v>0</v>
      </c>
      <c r="P217" s="20">
        <f>Data!R217</f>
        <v>0</v>
      </c>
      <c r="Q217" s="20">
        <f>Data!S217</f>
        <v>0</v>
      </c>
      <c r="R217" s="20">
        <f>Data!T217</f>
        <v>0</v>
      </c>
      <c r="S217" s="20">
        <f>Data!U217</f>
        <v>0</v>
      </c>
      <c r="T217" s="20">
        <f>Data!V217</f>
        <v>0</v>
      </c>
      <c r="U217" s="20">
        <f>Data!W217</f>
        <v>0</v>
      </c>
      <c r="V217" s="20">
        <f>Data!X217</f>
        <v>0</v>
      </c>
      <c r="W217" s="20">
        <f>Data!Y217</f>
        <v>0</v>
      </c>
      <c r="X217" s="20">
        <f>Data!Z217</f>
        <v>0</v>
      </c>
      <c r="Y217" s="22" t="str">
        <f>Data!AL217</f>
        <v>0000E9FFD6FFFCFF00000000000000</v>
      </c>
      <c r="Z217" s="20">
        <f>Data!AC217</f>
        <v>0</v>
      </c>
      <c r="AA217" s="20">
        <f>Data!AE217</f>
        <v>0</v>
      </c>
      <c r="AB217" s="20">
        <f>Data!AG217</f>
        <v>0</v>
      </c>
      <c r="AC217" s="20" t="str">
        <f>CONCATENATE(Data!AI217," ",Data!AJ217)</f>
        <v xml:space="preserve"> </v>
      </c>
    </row>
    <row r="218" spans="1:29" ht="15">
      <c r="A218" s="20" t="str">
        <f>Data!A218</f>
        <v>デモ機</v>
      </c>
      <c r="B218" s="20" t="str">
        <f>Data!C218</f>
        <v>Entire Organization</v>
      </c>
      <c r="C218" s="20" t="str">
        <f>IF(Data!E218=0,"",Data!E218)</f>
        <v/>
      </c>
      <c r="D218" s="26">
        <f t="shared" si="3"/>
        <v>42065.874931365739</v>
      </c>
      <c r="E218" s="27">
        <f>Data!F218</f>
        <v>42065.874931365739</v>
      </c>
      <c r="F218" s="20" t="str">
        <f>Data!G218</f>
        <v>DebugRecord</v>
      </c>
      <c r="G218" s="20">
        <f>Data!H218</f>
        <v>0</v>
      </c>
      <c r="H218" s="20">
        <f>Data!I218</f>
        <v>0</v>
      </c>
      <c r="I218" s="20">
        <f>Data!J218</f>
        <v>0</v>
      </c>
      <c r="J218" s="21" t="str">
        <f>IF(Data!K218=0,"",Data!K218)</f>
        <v/>
      </c>
      <c r="K218" s="22">
        <f>Data!L218</f>
        <v>0</v>
      </c>
      <c r="L218" s="21" t="str">
        <f>IF(Data!N218=0,"",Data!N218)</f>
        <v>ReverseNotConfirmedDueToZeroSpeed</v>
      </c>
      <c r="M218" s="20">
        <f>Data!O218</f>
        <v>0</v>
      </c>
      <c r="N218" s="20">
        <f>Data!P218</f>
        <v>0</v>
      </c>
      <c r="O218" s="20">
        <f>Data!Q218</f>
        <v>0</v>
      </c>
      <c r="P218" s="20">
        <f>Data!R218</f>
        <v>0</v>
      </c>
      <c r="Q218" s="20">
        <f>Data!S218</f>
        <v>0</v>
      </c>
      <c r="R218" s="20">
        <f>Data!T218</f>
        <v>0</v>
      </c>
      <c r="S218" s="20">
        <f>Data!U218</f>
        <v>0</v>
      </c>
      <c r="T218" s="20">
        <f>Data!V218</f>
        <v>0</v>
      </c>
      <c r="U218" s="20">
        <f>Data!W218</f>
        <v>0</v>
      </c>
      <c r="V218" s="20">
        <f>Data!X218</f>
        <v>0</v>
      </c>
      <c r="W218" s="20">
        <f>Data!Y218</f>
        <v>0</v>
      </c>
      <c r="X218" s="20">
        <f>Data!Z218</f>
        <v>0</v>
      </c>
      <c r="Y218" s="22" t="str">
        <f>Data!AL218</f>
        <v>FBFFFFFF0000000000000000000000</v>
      </c>
      <c r="Z218" s="20">
        <f>Data!AC218</f>
        <v>0</v>
      </c>
      <c r="AA218" s="20">
        <f>Data!AE218</f>
        <v>0</v>
      </c>
      <c r="AB218" s="20">
        <f>Data!AG218</f>
        <v>0</v>
      </c>
      <c r="AC218" s="20" t="str">
        <f>CONCATENATE(Data!AI218," ",Data!AJ218)</f>
        <v xml:space="preserve"> </v>
      </c>
    </row>
    <row r="219" spans="1:29" ht="15">
      <c r="A219" s="20" t="str">
        <f>Data!A219</f>
        <v>デモ機</v>
      </c>
      <c r="B219" s="20" t="str">
        <f>Data!C219</f>
        <v>Entire Organization</v>
      </c>
      <c r="C219" s="20" t="str">
        <f>IF(Data!E219=0,"",Data!E219)</f>
        <v/>
      </c>
      <c r="D219" s="26">
        <f t="shared" si="3"/>
        <v>42065.875012349534</v>
      </c>
      <c r="E219" s="27">
        <f>Data!F219</f>
        <v>42065.875012349534</v>
      </c>
      <c r="F219" s="20" t="str">
        <f>Data!G219</f>
        <v>DebugRecord</v>
      </c>
      <c r="G219" s="20">
        <f>Data!H219</f>
        <v>0</v>
      </c>
      <c r="H219" s="20">
        <f>Data!I219</f>
        <v>0</v>
      </c>
      <c r="I219" s="20">
        <f>Data!J219</f>
        <v>0</v>
      </c>
      <c r="J219" s="21" t="str">
        <f>IF(Data!K219=0,"",Data!K219)</f>
        <v/>
      </c>
      <c r="K219" s="22">
        <f>Data!L219</f>
        <v>0</v>
      </c>
      <c r="L219" s="21" t="str">
        <f>IF(Data!N219=0,"",Data!N219)</f>
        <v>ReverseDetectionStarted</v>
      </c>
      <c r="M219" s="20">
        <f>Data!O219</f>
        <v>0</v>
      </c>
      <c r="N219" s="20">
        <f>Data!P219</f>
        <v>0</v>
      </c>
      <c r="O219" s="20">
        <f>Data!Q219</f>
        <v>0</v>
      </c>
      <c r="P219" s="20">
        <f>Data!R219</f>
        <v>0</v>
      </c>
      <c r="Q219" s="20">
        <f>Data!S219</f>
        <v>0</v>
      </c>
      <c r="R219" s="20">
        <f>Data!T219</f>
        <v>0</v>
      </c>
      <c r="S219" s="20">
        <f>Data!U219</f>
        <v>0</v>
      </c>
      <c r="T219" s="20">
        <f>Data!V219</f>
        <v>0</v>
      </c>
      <c r="U219" s="20">
        <f>Data!W219</f>
        <v>0</v>
      </c>
      <c r="V219" s="20">
        <f>Data!X219</f>
        <v>0</v>
      </c>
      <c r="W219" s="20">
        <f>Data!Y219</f>
        <v>0</v>
      </c>
      <c r="X219" s="20">
        <f>Data!Z219</f>
        <v>0</v>
      </c>
      <c r="Y219" s="22" t="str">
        <f>Data!AL219</f>
        <v>19000000DFFFE4FF00000000000000</v>
      </c>
      <c r="Z219" s="20">
        <f>Data!AC219</f>
        <v>0</v>
      </c>
      <c r="AA219" s="20">
        <f>Data!AE219</f>
        <v>0</v>
      </c>
      <c r="AB219" s="20">
        <f>Data!AG219</f>
        <v>0</v>
      </c>
      <c r="AC219" s="20" t="str">
        <f>CONCATENATE(Data!AI219," ",Data!AJ219)</f>
        <v xml:space="preserve"> </v>
      </c>
    </row>
    <row r="220" spans="1:29" ht="15">
      <c r="A220" s="20" t="str">
        <f>Data!A220</f>
        <v>デモ機</v>
      </c>
      <c r="B220" s="20" t="str">
        <f>Data!C220</f>
        <v>Entire Organization</v>
      </c>
      <c r="C220" s="20" t="str">
        <f>IF(Data!E220=0,"",Data!E220)</f>
        <v/>
      </c>
      <c r="D220" s="26">
        <f t="shared" si="3"/>
        <v>42065.875023877314</v>
      </c>
      <c r="E220" s="27">
        <f>Data!F220</f>
        <v>42065.875023877314</v>
      </c>
      <c r="F220" s="20" t="str">
        <f>Data!G220</f>
        <v>DebugRecord</v>
      </c>
      <c r="G220" s="20">
        <f>Data!H220</f>
        <v>0</v>
      </c>
      <c r="H220" s="20">
        <f>Data!I220</f>
        <v>0</v>
      </c>
      <c r="I220" s="20">
        <f>Data!J220</f>
        <v>0</v>
      </c>
      <c r="J220" s="21" t="str">
        <f>IF(Data!K220=0,"",Data!K220)</f>
        <v/>
      </c>
      <c r="K220" s="22">
        <f>Data!L220</f>
        <v>0</v>
      </c>
      <c r="L220" s="21" t="str">
        <f>IF(Data!N220=0,"",Data!N220)</f>
        <v>ReverseNotConfirmedDueToZeroSpeed</v>
      </c>
      <c r="M220" s="20">
        <f>Data!O220</f>
        <v>0</v>
      </c>
      <c r="N220" s="20">
        <f>Data!P220</f>
        <v>0</v>
      </c>
      <c r="O220" s="20">
        <f>Data!Q220</f>
        <v>0</v>
      </c>
      <c r="P220" s="20">
        <f>Data!R220</f>
        <v>0</v>
      </c>
      <c r="Q220" s="20">
        <f>Data!S220</f>
        <v>0</v>
      </c>
      <c r="R220" s="20">
        <f>Data!T220</f>
        <v>0</v>
      </c>
      <c r="S220" s="20">
        <f>Data!U220</f>
        <v>0</v>
      </c>
      <c r="T220" s="20">
        <f>Data!V220</f>
        <v>0</v>
      </c>
      <c r="U220" s="20">
        <f>Data!W220</f>
        <v>0</v>
      </c>
      <c r="V220" s="20">
        <f>Data!X220</f>
        <v>0</v>
      </c>
      <c r="W220" s="20">
        <f>Data!Y220</f>
        <v>0</v>
      </c>
      <c r="X220" s="20">
        <f>Data!Z220</f>
        <v>0</v>
      </c>
      <c r="Y220" s="22" t="str">
        <f>Data!AL220</f>
        <v>D1FFFFFF0000000000000000000000</v>
      </c>
      <c r="Z220" s="20">
        <f>Data!AC220</f>
        <v>0</v>
      </c>
      <c r="AA220" s="20">
        <f>Data!AE220</f>
        <v>0</v>
      </c>
      <c r="AB220" s="20">
        <f>Data!AG220</f>
        <v>0</v>
      </c>
      <c r="AC220" s="20" t="str">
        <f>CONCATENATE(Data!AI220," ",Data!AJ220)</f>
        <v xml:space="preserve"> </v>
      </c>
    </row>
    <row r="221" spans="1:29" ht="15">
      <c r="A221" s="20" t="str">
        <f>Data!A221</f>
        <v>デモ機</v>
      </c>
      <c r="B221" s="20" t="str">
        <f>Data!C221</f>
        <v>Entire Organization</v>
      </c>
      <c r="C221" s="20" t="str">
        <f>IF(Data!E221=0,"",Data!E221)</f>
        <v/>
      </c>
      <c r="D221" s="26">
        <f t="shared" si="3"/>
        <v>42065.875058599537</v>
      </c>
      <c r="E221" s="27">
        <f>Data!F221</f>
        <v>42065.875058599537</v>
      </c>
      <c r="F221" s="20" t="str">
        <f>Data!G221</f>
        <v>DebugRecord</v>
      </c>
      <c r="G221" s="20">
        <f>Data!H221</f>
        <v>0</v>
      </c>
      <c r="H221" s="20">
        <f>Data!I221</f>
        <v>0</v>
      </c>
      <c r="I221" s="20">
        <f>Data!J221</f>
        <v>0</v>
      </c>
      <c r="J221" s="21" t="str">
        <f>IF(Data!K221=0,"",Data!K221)</f>
        <v/>
      </c>
      <c r="K221" s="22">
        <f>Data!L221</f>
        <v>0</v>
      </c>
      <c r="L221" s="21" t="str">
        <f>IF(Data!N221=0,"",Data!N221)</f>
        <v>ReverseDetectionStarted</v>
      </c>
      <c r="M221" s="20">
        <f>Data!O221</f>
        <v>0</v>
      </c>
      <c r="N221" s="20">
        <f>Data!P221</f>
        <v>0</v>
      </c>
      <c r="O221" s="20">
        <f>Data!Q221</f>
        <v>0</v>
      </c>
      <c r="P221" s="20">
        <f>Data!R221</f>
        <v>0</v>
      </c>
      <c r="Q221" s="20">
        <f>Data!S221</f>
        <v>0</v>
      </c>
      <c r="R221" s="20">
        <f>Data!T221</f>
        <v>0</v>
      </c>
      <c r="S221" s="20">
        <f>Data!U221</f>
        <v>0</v>
      </c>
      <c r="T221" s="20">
        <f>Data!V221</f>
        <v>0</v>
      </c>
      <c r="U221" s="20">
        <f>Data!W221</f>
        <v>0</v>
      </c>
      <c r="V221" s="20">
        <f>Data!X221</f>
        <v>0</v>
      </c>
      <c r="W221" s="20">
        <f>Data!Y221</f>
        <v>0</v>
      </c>
      <c r="X221" s="20">
        <f>Data!Z221</f>
        <v>0</v>
      </c>
      <c r="Y221" s="22" t="str">
        <f>Data!AL221</f>
        <v>E8FFFBFFF7FFECFF00000000000000</v>
      </c>
      <c r="Z221" s="20">
        <f>Data!AC221</f>
        <v>0</v>
      </c>
      <c r="AA221" s="20">
        <f>Data!AE221</f>
        <v>0</v>
      </c>
      <c r="AB221" s="20">
        <f>Data!AG221</f>
        <v>0</v>
      </c>
      <c r="AC221" s="20" t="str">
        <f>CONCATENATE(Data!AI221," ",Data!AJ221)</f>
        <v xml:space="preserve"> </v>
      </c>
    </row>
    <row r="222" spans="1:29" ht="15">
      <c r="A222" s="20" t="str">
        <f>Data!A222</f>
        <v>デモ機</v>
      </c>
      <c r="B222" s="20" t="str">
        <f>Data!C222</f>
        <v>Entire Organization</v>
      </c>
      <c r="C222" s="20" t="str">
        <f>IF(Data!E222=0,"",Data!E222)</f>
        <v/>
      </c>
      <c r="D222" s="26">
        <f t="shared" si="3"/>
        <v>42065.875063807871</v>
      </c>
      <c r="E222" s="27">
        <f>Data!F222</f>
        <v>42065.875063807871</v>
      </c>
      <c r="F222" s="20" t="str">
        <f>Data!G222</f>
        <v>DebugRecord</v>
      </c>
      <c r="G222" s="20">
        <f>Data!H222</f>
        <v>0</v>
      </c>
      <c r="H222" s="20">
        <f>Data!I222</f>
        <v>0</v>
      </c>
      <c r="I222" s="20">
        <f>Data!J222</f>
        <v>0</v>
      </c>
      <c r="J222" s="21" t="str">
        <f>IF(Data!K222=0,"",Data!K222)</f>
        <v/>
      </c>
      <c r="K222" s="22">
        <f>Data!L222</f>
        <v>0</v>
      </c>
      <c r="L222" s="21" t="str">
        <f>IF(Data!N222=0,"",Data!N222)</f>
        <v>ReverseNotConfirmedDueToZeroSpeed</v>
      </c>
      <c r="M222" s="20">
        <f>Data!O222</f>
        <v>0</v>
      </c>
      <c r="N222" s="20">
        <f>Data!P222</f>
        <v>0</v>
      </c>
      <c r="O222" s="20">
        <f>Data!Q222</f>
        <v>0</v>
      </c>
      <c r="P222" s="20">
        <f>Data!R222</f>
        <v>0</v>
      </c>
      <c r="Q222" s="20">
        <f>Data!S222</f>
        <v>0</v>
      </c>
      <c r="R222" s="20">
        <f>Data!T222</f>
        <v>0</v>
      </c>
      <c r="S222" s="20">
        <f>Data!U222</f>
        <v>0</v>
      </c>
      <c r="T222" s="20">
        <f>Data!V222</f>
        <v>0</v>
      </c>
      <c r="U222" s="20">
        <f>Data!W222</f>
        <v>0</v>
      </c>
      <c r="V222" s="20">
        <f>Data!X222</f>
        <v>0</v>
      </c>
      <c r="W222" s="20">
        <f>Data!Y222</f>
        <v>0</v>
      </c>
      <c r="X222" s="20">
        <f>Data!Z222</f>
        <v>0</v>
      </c>
      <c r="Y222" s="22" t="str">
        <f>Data!AL222</f>
        <v>0C0000000000000000000000000000</v>
      </c>
      <c r="Z222" s="20">
        <f>Data!AC222</f>
        <v>0</v>
      </c>
      <c r="AA222" s="20">
        <f>Data!AE222</f>
        <v>0</v>
      </c>
      <c r="AB222" s="20">
        <f>Data!AG222</f>
        <v>0</v>
      </c>
      <c r="AC222" s="20" t="str">
        <f>CONCATENATE(Data!AI222," ",Data!AJ222)</f>
        <v xml:space="preserve"> </v>
      </c>
    </row>
    <row r="223" spans="1:29" ht="15">
      <c r="A223" s="20" t="str">
        <f>Data!A223</f>
        <v>デモ機</v>
      </c>
      <c r="B223" s="20" t="str">
        <f>Data!C223</f>
        <v>Entire Organization</v>
      </c>
      <c r="C223" s="20" t="str">
        <f>IF(Data!E223=0,"",Data!E223)</f>
        <v/>
      </c>
      <c r="D223" s="26">
        <f t="shared" si="3"/>
        <v>42065.875093402778</v>
      </c>
      <c r="E223" s="27">
        <f>Data!F223</f>
        <v>42065.875093402778</v>
      </c>
      <c r="F223" s="20" t="str">
        <f>Data!G223</f>
        <v>DebugRecord</v>
      </c>
      <c r="G223" s="20">
        <f>Data!H223</f>
        <v>0</v>
      </c>
      <c r="H223" s="20">
        <f>Data!I223</f>
        <v>0</v>
      </c>
      <c r="I223" s="20">
        <f>Data!J223</f>
        <v>0</v>
      </c>
      <c r="J223" s="21" t="str">
        <f>IF(Data!K223=0,"",Data!K223)</f>
        <v/>
      </c>
      <c r="K223" s="22">
        <f>Data!L223</f>
        <v>0</v>
      </c>
      <c r="L223" s="21" t="str">
        <f>IF(Data!N223=0,"",Data!N223)</f>
        <v>ReverseDetectionStarted</v>
      </c>
      <c r="M223" s="20">
        <f>Data!O223</f>
        <v>0</v>
      </c>
      <c r="N223" s="20">
        <f>Data!P223</f>
        <v>0</v>
      </c>
      <c r="O223" s="20">
        <f>Data!Q223</f>
        <v>0</v>
      </c>
      <c r="P223" s="20">
        <f>Data!R223</f>
        <v>0</v>
      </c>
      <c r="Q223" s="20">
        <f>Data!S223</f>
        <v>0</v>
      </c>
      <c r="R223" s="20">
        <f>Data!T223</f>
        <v>0</v>
      </c>
      <c r="S223" s="20">
        <f>Data!U223</f>
        <v>0</v>
      </c>
      <c r="T223" s="20">
        <f>Data!V223</f>
        <v>0</v>
      </c>
      <c r="U223" s="20">
        <f>Data!W223</f>
        <v>0</v>
      </c>
      <c r="V223" s="20">
        <f>Data!X223</f>
        <v>0</v>
      </c>
      <c r="W223" s="20">
        <f>Data!Y223</f>
        <v>0</v>
      </c>
      <c r="X223" s="20">
        <f>Data!Z223</f>
        <v>0</v>
      </c>
      <c r="Y223" s="22" t="str">
        <f>Data!AL223</f>
        <v>1D00F1FF0000FEFF00000000000000</v>
      </c>
      <c r="Z223" s="20">
        <f>Data!AC223</f>
        <v>0</v>
      </c>
      <c r="AA223" s="20">
        <f>Data!AE223</f>
        <v>0</v>
      </c>
      <c r="AB223" s="20">
        <f>Data!AG223</f>
        <v>0</v>
      </c>
      <c r="AC223" s="20" t="str">
        <f>CONCATENATE(Data!AI223," ",Data!AJ223)</f>
        <v xml:space="preserve"> </v>
      </c>
    </row>
    <row r="224" spans="1:29" ht="15">
      <c r="A224" s="20" t="str">
        <f>Data!A224</f>
        <v>デモ機</v>
      </c>
      <c r="B224" s="20" t="str">
        <f>Data!C224</f>
        <v>Entire Organization</v>
      </c>
      <c r="C224" s="20" t="str">
        <f>IF(Data!E224=0,"",Data!E224)</f>
        <v/>
      </c>
      <c r="D224" s="26">
        <f t="shared" si="3"/>
        <v>42065.875105127314</v>
      </c>
      <c r="E224" s="27">
        <f>Data!F224</f>
        <v>42065.875105127314</v>
      </c>
      <c r="F224" s="20" t="str">
        <f>Data!G224</f>
        <v>DebugRecord</v>
      </c>
      <c r="G224" s="20">
        <f>Data!H224</f>
        <v>0</v>
      </c>
      <c r="H224" s="20">
        <f>Data!I224</f>
        <v>0</v>
      </c>
      <c r="I224" s="20">
        <f>Data!J224</f>
        <v>0</v>
      </c>
      <c r="J224" s="21" t="str">
        <f>IF(Data!K224=0,"",Data!K224)</f>
        <v/>
      </c>
      <c r="K224" s="22">
        <f>Data!L224</f>
        <v>0</v>
      </c>
      <c r="L224" s="21" t="str">
        <f>IF(Data!N224=0,"",Data!N224)</f>
        <v>ReverseNotConfirmedDueToForwardAcceleration</v>
      </c>
      <c r="M224" s="20">
        <f>Data!O224</f>
        <v>0</v>
      </c>
      <c r="N224" s="20">
        <f>Data!P224</f>
        <v>0</v>
      </c>
      <c r="O224" s="20">
        <f>Data!Q224</f>
        <v>0</v>
      </c>
      <c r="P224" s="20">
        <f>Data!R224</f>
        <v>0</v>
      </c>
      <c r="Q224" s="20">
        <f>Data!S224</f>
        <v>0</v>
      </c>
      <c r="R224" s="20">
        <f>Data!T224</f>
        <v>0</v>
      </c>
      <c r="S224" s="20">
        <f>Data!U224</f>
        <v>0</v>
      </c>
      <c r="T224" s="20">
        <f>Data!V224</f>
        <v>0</v>
      </c>
      <c r="U224" s="20">
        <f>Data!W224</f>
        <v>0</v>
      </c>
      <c r="V224" s="20">
        <f>Data!X224</f>
        <v>0</v>
      </c>
      <c r="W224" s="20">
        <f>Data!Y224</f>
        <v>0</v>
      </c>
      <c r="X224" s="20">
        <f>Data!Z224</f>
        <v>0</v>
      </c>
      <c r="Y224" s="22" t="str">
        <f>Data!AL224</f>
        <v>030000000000000000000000000000</v>
      </c>
      <c r="Z224" s="20">
        <f>Data!AC224</f>
        <v>0</v>
      </c>
      <c r="AA224" s="20">
        <f>Data!AE224</f>
        <v>0</v>
      </c>
      <c r="AB224" s="20">
        <f>Data!AG224</f>
        <v>0</v>
      </c>
      <c r="AC224" s="20" t="str">
        <f>CONCATENATE(Data!AI224," ",Data!AJ224)</f>
        <v xml:space="preserve"> </v>
      </c>
    </row>
    <row r="225" spans="1:29" ht="15">
      <c r="A225" s="20" t="str">
        <f>Data!A225</f>
        <v>デモ機</v>
      </c>
      <c r="B225" s="20" t="str">
        <f>Data!C225</f>
        <v>Entire Organization</v>
      </c>
      <c r="C225" s="20" t="str">
        <f>IF(Data!E225=0,"",Data!E225)</f>
        <v/>
      </c>
      <c r="D225" s="26">
        <f t="shared" si="3"/>
        <v>42065.875115740739</v>
      </c>
      <c r="E225" s="27">
        <f>Data!F225</f>
        <v>42065.875115740739</v>
      </c>
      <c r="F225" s="20" t="str">
        <f>Data!G225</f>
        <v>GpsRecord</v>
      </c>
      <c r="G225" s="20">
        <f>Data!H225</f>
        <v>1</v>
      </c>
      <c r="H225" s="20">
        <f>Data!I225</f>
        <v>139.39482000000001</v>
      </c>
      <c r="I225" s="20">
        <f>Data!J225</f>
        <v>35.585839999999997</v>
      </c>
      <c r="J225" s="21" t="str">
        <f>IF(Data!K225=0,"",Data!K225)</f>
        <v>日本, 〒194-0213 東京都町田市常盤町 町田街道</v>
      </c>
      <c r="K225" s="22">
        <f>Data!L225</f>
        <v>0</v>
      </c>
      <c r="L225" s="21" t="str">
        <f>IF(Data!N225=0,"",Data!N225)</f>
        <v>CurveZeroSpeed</v>
      </c>
      <c r="M225" s="20" t="b">
        <f>Data!O225</f>
        <v>1</v>
      </c>
      <c r="N225" s="20" t="b">
        <f>Data!P225</f>
        <v>0</v>
      </c>
      <c r="O225" s="20" t="b">
        <f>Data!Q225</f>
        <v>0</v>
      </c>
      <c r="P225" s="20" t="b">
        <f>Data!R225</f>
        <v>0</v>
      </c>
      <c r="Q225" s="20" t="b">
        <f>Data!S225</f>
        <v>0</v>
      </c>
      <c r="R225" s="20" t="b">
        <f>Data!T225</f>
        <v>0</v>
      </c>
      <c r="S225" s="20" t="b">
        <f>Data!U225</f>
        <v>0</v>
      </c>
      <c r="T225" s="20" t="b">
        <f>Data!V225</f>
        <v>0</v>
      </c>
      <c r="U225" s="20" t="b">
        <f>Data!W225</f>
        <v>0</v>
      </c>
      <c r="V225" s="20" t="b">
        <f>Data!X225</f>
        <v>1</v>
      </c>
      <c r="W225" s="20" t="b">
        <f>Data!Y225</f>
        <v>1</v>
      </c>
      <c r="X225" s="20">
        <f>Data!Z225</f>
        <v>0</v>
      </c>
      <c r="Y225" s="22">
        <f>Data!AL225</f>
        <v>0</v>
      </c>
      <c r="Z225" s="20">
        <f>Data!AC225</f>
        <v>0</v>
      </c>
      <c r="AA225" s="20">
        <f>Data!AE225</f>
        <v>0</v>
      </c>
      <c r="AB225" s="20">
        <f>Data!AG225</f>
        <v>0</v>
      </c>
      <c r="AC225" s="20" t="str">
        <f>CONCATENATE(Data!AI225," ",Data!AJ225)</f>
        <v xml:space="preserve"> </v>
      </c>
    </row>
    <row r="226" spans="1:29" ht="15">
      <c r="A226" s="20" t="str">
        <f>Data!A226</f>
        <v>デモ機</v>
      </c>
      <c r="B226" s="20" t="str">
        <f>Data!C226</f>
        <v>Entire Organization</v>
      </c>
      <c r="C226" s="20" t="str">
        <f>IF(Data!E226=0,"",Data!E226)</f>
        <v/>
      </c>
      <c r="D226" s="26">
        <f t="shared" si="3"/>
        <v>42065.875138888892</v>
      </c>
      <c r="E226" s="27">
        <f>Data!F226</f>
        <v>42065.875138888892</v>
      </c>
      <c r="F226" s="20" t="str">
        <f>Data!G226</f>
        <v>GpsRecord</v>
      </c>
      <c r="G226" s="20">
        <f>Data!H226</f>
        <v>0</v>
      </c>
      <c r="H226" s="20">
        <f>Data!I226</f>
        <v>139.39482000000001</v>
      </c>
      <c r="I226" s="20">
        <f>Data!J226</f>
        <v>35.58587</v>
      </c>
      <c r="J226" s="21" t="str">
        <f>IF(Data!K226=0,"",Data!K226)</f>
        <v>日本, 〒194-0213 東京都町田市常盤町 町田街道</v>
      </c>
      <c r="K226" s="22">
        <f>Data!L226</f>
        <v>0</v>
      </c>
      <c r="L226" s="21" t="str">
        <f>IF(Data!N226=0,"",Data!N226)</f>
        <v>CurveZeroSpeed</v>
      </c>
      <c r="M226" s="20" t="b">
        <f>Data!O226</f>
        <v>1</v>
      </c>
      <c r="N226" s="20" t="b">
        <f>Data!P226</f>
        <v>0</v>
      </c>
      <c r="O226" s="20" t="b">
        <f>Data!Q226</f>
        <v>0</v>
      </c>
      <c r="P226" s="20" t="b">
        <f>Data!R226</f>
        <v>0</v>
      </c>
      <c r="Q226" s="20" t="b">
        <f>Data!S226</f>
        <v>0</v>
      </c>
      <c r="R226" s="20" t="b">
        <f>Data!T226</f>
        <v>0</v>
      </c>
      <c r="S226" s="20" t="b">
        <f>Data!U226</f>
        <v>0</v>
      </c>
      <c r="T226" s="20" t="b">
        <f>Data!V226</f>
        <v>0</v>
      </c>
      <c r="U226" s="20" t="b">
        <f>Data!W226</f>
        <v>0</v>
      </c>
      <c r="V226" s="20" t="b">
        <f>Data!X226</f>
        <v>1</v>
      </c>
      <c r="W226" s="20" t="b">
        <f>Data!Y226</f>
        <v>1</v>
      </c>
      <c r="X226" s="20">
        <f>Data!Z226</f>
        <v>0</v>
      </c>
      <c r="Y226" s="22">
        <f>Data!AL226</f>
        <v>0</v>
      </c>
      <c r="Z226" s="20">
        <f>Data!AC226</f>
        <v>0</v>
      </c>
      <c r="AA226" s="20">
        <f>Data!AE226</f>
        <v>0</v>
      </c>
      <c r="AB226" s="20">
        <f>Data!AG226</f>
        <v>0</v>
      </c>
      <c r="AC226" s="20" t="str">
        <f>CONCATENATE(Data!AI226," ",Data!AJ226)</f>
        <v xml:space="preserve"> </v>
      </c>
    </row>
    <row r="227" spans="1:29" ht="15">
      <c r="A227" s="20" t="str">
        <f>Data!A227</f>
        <v>デモ機</v>
      </c>
      <c r="B227" s="20" t="str">
        <f>Data!C227</f>
        <v>Entire Organization</v>
      </c>
      <c r="C227" s="20" t="str">
        <f>IF(Data!E227=0,"",Data!E227)</f>
        <v/>
      </c>
      <c r="D227" s="26">
        <f t="shared" si="3"/>
        <v>42065.875335648147</v>
      </c>
      <c r="E227" s="27">
        <f>Data!F227</f>
        <v>42065.875335648147</v>
      </c>
      <c r="F227" s="20" t="str">
        <f>Data!G227</f>
        <v>GpsRecord</v>
      </c>
      <c r="G227" s="20">
        <f>Data!H227</f>
        <v>1</v>
      </c>
      <c r="H227" s="20">
        <f>Data!I227</f>
        <v>139.39483999999999</v>
      </c>
      <c r="I227" s="20">
        <f>Data!J227</f>
        <v>35.585920000000002</v>
      </c>
      <c r="J227" s="21" t="str">
        <f>IF(Data!K227=0,"",Data!K227)</f>
        <v>日本, 〒194-0213 東京都町田市常盤町 町田街道</v>
      </c>
      <c r="K227" s="22">
        <f>Data!L227</f>
        <v>0</v>
      </c>
      <c r="L227" s="21" t="str">
        <f>IF(Data!N227=0,"",Data!N227)</f>
        <v>CurveZeroSpeed</v>
      </c>
      <c r="M227" s="20" t="b">
        <f>Data!O227</f>
        <v>1</v>
      </c>
      <c r="N227" s="20" t="b">
        <f>Data!P227</f>
        <v>0</v>
      </c>
      <c r="O227" s="20" t="b">
        <f>Data!Q227</f>
        <v>0</v>
      </c>
      <c r="P227" s="20" t="b">
        <f>Data!R227</f>
        <v>0</v>
      </c>
      <c r="Q227" s="20" t="b">
        <f>Data!S227</f>
        <v>0</v>
      </c>
      <c r="R227" s="20" t="b">
        <f>Data!T227</f>
        <v>0</v>
      </c>
      <c r="S227" s="20" t="b">
        <f>Data!U227</f>
        <v>0</v>
      </c>
      <c r="T227" s="20" t="b">
        <f>Data!V227</f>
        <v>0</v>
      </c>
      <c r="U227" s="20" t="b">
        <f>Data!W227</f>
        <v>0</v>
      </c>
      <c r="V227" s="20" t="b">
        <f>Data!X227</f>
        <v>1</v>
      </c>
      <c r="W227" s="20" t="b">
        <f>Data!Y227</f>
        <v>1</v>
      </c>
      <c r="X227" s="20">
        <f>Data!Z227</f>
        <v>0</v>
      </c>
      <c r="Y227" s="22">
        <f>Data!AL227</f>
        <v>0</v>
      </c>
      <c r="Z227" s="20">
        <f>Data!AC227</f>
        <v>0</v>
      </c>
      <c r="AA227" s="20">
        <f>Data!AE227</f>
        <v>0</v>
      </c>
      <c r="AB227" s="20">
        <f>Data!AG227</f>
        <v>0</v>
      </c>
      <c r="AC227" s="20" t="str">
        <f>CONCATENATE(Data!AI227," ",Data!AJ227)</f>
        <v xml:space="preserve"> </v>
      </c>
    </row>
    <row r="228" spans="1:29" ht="15">
      <c r="A228" s="20" t="str">
        <f>Data!A228</f>
        <v>デモ機</v>
      </c>
      <c r="B228" s="20" t="str">
        <f>Data!C228</f>
        <v>Entire Organization</v>
      </c>
      <c r="C228" s="20" t="str">
        <f>IF(Data!E228=0,"",Data!E228)</f>
        <v/>
      </c>
      <c r="D228" s="26">
        <f t="shared" si="3"/>
        <v>42065.875341516206</v>
      </c>
      <c r="E228" s="27">
        <f>Data!F228</f>
        <v>42065.875341516206</v>
      </c>
      <c r="F228" s="20" t="str">
        <f>Data!G228</f>
        <v>DebugRecord</v>
      </c>
      <c r="G228" s="20">
        <f>Data!H228</f>
        <v>0</v>
      </c>
      <c r="H228" s="20">
        <f>Data!I228</f>
        <v>0</v>
      </c>
      <c r="I228" s="20">
        <f>Data!J228</f>
        <v>0</v>
      </c>
      <c r="J228" s="21" t="str">
        <f>IF(Data!K228=0,"",Data!K228)</f>
        <v/>
      </c>
      <c r="K228" s="22">
        <f>Data!L228</f>
        <v>0</v>
      </c>
      <c r="L228" s="21" t="str">
        <f>IF(Data!N228=0,"",Data!N228)</f>
        <v>MultilineResponseTimeout</v>
      </c>
      <c r="M228" s="20">
        <f>Data!O228</f>
        <v>0</v>
      </c>
      <c r="N228" s="20">
        <f>Data!P228</f>
        <v>0</v>
      </c>
      <c r="O228" s="20">
        <f>Data!Q228</f>
        <v>0</v>
      </c>
      <c r="P228" s="20">
        <f>Data!R228</f>
        <v>0</v>
      </c>
      <c r="Q228" s="20">
        <f>Data!S228</f>
        <v>0</v>
      </c>
      <c r="R228" s="20">
        <f>Data!T228</f>
        <v>0</v>
      </c>
      <c r="S228" s="20">
        <f>Data!U228</f>
        <v>0</v>
      </c>
      <c r="T228" s="20">
        <f>Data!V228</f>
        <v>0</v>
      </c>
      <c r="U228" s="20">
        <f>Data!W228</f>
        <v>0</v>
      </c>
      <c r="V228" s="20">
        <f>Data!X228</f>
        <v>0</v>
      </c>
      <c r="W228" s="20">
        <f>Data!Y228</f>
        <v>0</v>
      </c>
      <c r="X228" s="20">
        <f>Data!Z228</f>
        <v>0</v>
      </c>
      <c r="Y228" s="22" t="str">
        <f>Data!AL228</f>
        <v>000005000000000000000000000000</v>
      </c>
      <c r="Z228" s="20">
        <f>Data!AC228</f>
        <v>0</v>
      </c>
      <c r="AA228" s="20">
        <f>Data!AE228</f>
        <v>0</v>
      </c>
      <c r="AB228" s="20">
        <f>Data!AG228</f>
        <v>0</v>
      </c>
      <c r="AC228" s="20" t="str">
        <f>CONCATENATE(Data!AI228," ",Data!AJ228)</f>
        <v xml:space="preserve"> </v>
      </c>
    </row>
    <row r="229" spans="1:29" ht="15">
      <c r="A229" s="20" t="str">
        <f>Data!A229</f>
        <v>デモ機</v>
      </c>
      <c r="B229" s="20" t="str">
        <f>Data!C229</f>
        <v>Entire Organization</v>
      </c>
      <c r="C229" s="20" t="str">
        <f>IF(Data!E229=0,"",Data!E229)</f>
        <v/>
      </c>
      <c r="D229" s="26">
        <f t="shared" si="3"/>
        <v>42065.875347222223</v>
      </c>
      <c r="E229" s="27">
        <f>Data!F229</f>
        <v>42065.875347222223</v>
      </c>
      <c r="F229" s="20" t="str">
        <f>Data!G229</f>
        <v>GpsRecord</v>
      </c>
      <c r="G229" s="20">
        <f>Data!H229</f>
        <v>0</v>
      </c>
      <c r="H229" s="20">
        <f>Data!I229</f>
        <v>139.39483999999999</v>
      </c>
      <c r="I229" s="20">
        <f>Data!J229</f>
        <v>35.585920000000002</v>
      </c>
      <c r="J229" s="21" t="str">
        <f>IF(Data!K229=0,"",Data!K229)</f>
        <v>日本, 〒194-0213 東京都町田市常盤町 町田街道</v>
      </c>
      <c r="K229" s="22">
        <f>Data!L229</f>
        <v>0</v>
      </c>
      <c r="L229" s="21" t="str">
        <f>IF(Data!N229=0,"",Data!N229)</f>
        <v>CurveZeroSpeed</v>
      </c>
      <c r="M229" s="20" t="b">
        <f>Data!O229</f>
        <v>1</v>
      </c>
      <c r="N229" s="20" t="b">
        <f>Data!P229</f>
        <v>0</v>
      </c>
      <c r="O229" s="20" t="b">
        <f>Data!Q229</f>
        <v>0</v>
      </c>
      <c r="P229" s="20" t="b">
        <f>Data!R229</f>
        <v>0</v>
      </c>
      <c r="Q229" s="20" t="b">
        <f>Data!S229</f>
        <v>0</v>
      </c>
      <c r="R229" s="20" t="b">
        <f>Data!T229</f>
        <v>0</v>
      </c>
      <c r="S229" s="20" t="b">
        <f>Data!U229</f>
        <v>0</v>
      </c>
      <c r="T229" s="20" t="b">
        <f>Data!V229</f>
        <v>0</v>
      </c>
      <c r="U229" s="20" t="b">
        <f>Data!W229</f>
        <v>0</v>
      </c>
      <c r="V229" s="20" t="b">
        <f>Data!X229</f>
        <v>1</v>
      </c>
      <c r="W229" s="20" t="b">
        <f>Data!Y229</f>
        <v>1</v>
      </c>
      <c r="X229" s="20">
        <f>Data!Z229</f>
        <v>0</v>
      </c>
      <c r="Y229" s="22">
        <f>Data!AL229</f>
        <v>0</v>
      </c>
      <c r="Z229" s="20">
        <f>Data!AC229</f>
        <v>0</v>
      </c>
      <c r="AA229" s="20">
        <f>Data!AE229</f>
        <v>0</v>
      </c>
      <c r="AB229" s="20">
        <f>Data!AG229</f>
        <v>0</v>
      </c>
      <c r="AC229" s="20" t="str">
        <f>CONCATENATE(Data!AI229," ",Data!AJ229)</f>
        <v xml:space="preserve"> </v>
      </c>
    </row>
    <row r="230" spans="1:29" ht="15">
      <c r="A230" s="20" t="str">
        <f>Data!A230</f>
        <v>デモ機</v>
      </c>
      <c r="B230" s="20" t="str">
        <f>Data!C230</f>
        <v>Entire Organization</v>
      </c>
      <c r="C230" s="20" t="str">
        <f>IF(Data!E230=0,"",Data!E230)</f>
        <v/>
      </c>
      <c r="D230" s="26">
        <f t="shared" si="3"/>
        <v>42065.875358796293</v>
      </c>
      <c r="E230" s="27">
        <f>Data!F230</f>
        <v>42065.875358796293</v>
      </c>
      <c r="F230" s="20" t="str">
        <f>Data!G230</f>
        <v>GpsRecord</v>
      </c>
      <c r="G230" s="20">
        <f>Data!H230</f>
        <v>2</v>
      </c>
      <c r="H230" s="20">
        <f>Data!I230</f>
        <v>139.39483999999999</v>
      </c>
      <c r="I230" s="20">
        <f>Data!J230</f>
        <v>35.585920000000002</v>
      </c>
      <c r="J230" s="21" t="str">
        <f>IF(Data!K230=0,"",Data!K230)</f>
        <v>日本, 〒194-0213 東京都町田市常盤町 町田街道</v>
      </c>
      <c r="K230" s="22">
        <f>Data!L230</f>
        <v>0</v>
      </c>
      <c r="L230" s="21" t="str">
        <f>IF(Data!N230=0,"",Data!N230)</f>
        <v>CurveZeroSpeed</v>
      </c>
      <c r="M230" s="20" t="b">
        <f>Data!O230</f>
        <v>1</v>
      </c>
      <c r="N230" s="20" t="b">
        <f>Data!P230</f>
        <v>0</v>
      </c>
      <c r="O230" s="20" t="b">
        <f>Data!Q230</f>
        <v>0</v>
      </c>
      <c r="P230" s="20" t="b">
        <f>Data!R230</f>
        <v>0</v>
      </c>
      <c r="Q230" s="20" t="b">
        <f>Data!S230</f>
        <v>0</v>
      </c>
      <c r="R230" s="20" t="b">
        <f>Data!T230</f>
        <v>0</v>
      </c>
      <c r="S230" s="20" t="b">
        <f>Data!U230</f>
        <v>0</v>
      </c>
      <c r="T230" s="20" t="b">
        <f>Data!V230</f>
        <v>0</v>
      </c>
      <c r="U230" s="20" t="b">
        <f>Data!W230</f>
        <v>0</v>
      </c>
      <c r="V230" s="20" t="b">
        <f>Data!X230</f>
        <v>1</v>
      </c>
      <c r="W230" s="20" t="b">
        <f>Data!Y230</f>
        <v>1</v>
      </c>
      <c r="X230" s="20">
        <f>Data!Z230</f>
        <v>0</v>
      </c>
      <c r="Y230" s="22">
        <f>Data!AL230</f>
        <v>0</v>
      </c>
      <c r="Z230" s="20">
        <f>Data!AC230</f>
        <v>0</v>
      </c>
      <c r="AA230" s="20">
        <f>Data!AE230</f>
        <v>0</v>
      </c>
      <c r="AB230" s="20">
        <f>Data!AG230</f>
        <v>0</v>
      </c>
      <c r="AC230" s="20" t="str">
        <f>CONCATENATE(Data!AI230," ",Data!AJ230)</f>
        <v xml:space="preserve"> </v>
      </c>
    </row>
    <row r="231" spans="1:29" ht="15">
      <c r="A231" s="20" t="str">
        <f>Data!A231</f>
        <v>デモ機</v>
      </c>
      <c r="B231" s="20" t="str">
        <f>Data!C231</f>
        <v>Entire Organization</v>
      </c>
      <c r="C231" s="20" t="str">
        <f>IF(Data!E231=0,"",Data!E231)</f>
        <v/>
      </c>
      <c r="D231" s="26">
        <f t="shared" si="3"/>
        <v>42065.87537037037</v>
      </c>
      <c r="E231" s="27">
        <f>Data!F231</f>
        <v>42065.87537037037</v>
      </c>
      <c r="F231" s="20" t="str">
        <f>Data!G231</f>
        <v>GpsRecord</v>
      </c>
      <c r="G231" s="20">
        <f>Data!H231</f>
        <v>0</v>
      </c>
      <c r="H231" s="20">
        <f>Data!I231</f>
        <v>139.39483999999999</v>
      </c>
      <c r="I231" s="20">
        <f>Data!J231</f>
        <v>35.585900000000002</v>
      </c>
      <c r="J231" s="21" t="str">
        <f>IF(Data!K231=0,"",Data!K231)</f>
        <v>日本, 〒194-0213 東京都町田市常盤町 町田街道</v>
      </c>
      <c r="K231" s="22">
        <f>Data!L231</f>
        <v>0</v>
      </c>
      <c r="L231" s="21" t="str">
        <f>IF(Data!N231=0,"",Data!N231)</f>
        <v>CurveZeroSpeed</v>
      </c>
      <c r="M231" s="20" t="b">
        <f>Data!O231</f>
        <v>1</v>
      </c>
      <c r="N231" s="20" t="b">
        <f>Data!P231</f>
        <v>0</v>
      </c>
      <c r="O231" s="20" t="b">
        <f>Data!Q231</f>
        <v>0</v>
      </c>
      <c r="P231" s="20" t="b">
        <f>Data!R231</f>
        <v>0</v>
      </c>
      <c r="Q231" s="20" t="b">
        <f>Data!S231</f>
        <v>0</v>
      </c>
      <c r="R231" s="20" t="b">
        <f>Data!T231</f>
        <v>0</v>
      </c>
      <c r="S231" s="20" t="b">
        <f>Data!U231</f>
        <v>0</v>
      </c>
      <c r="T231" s="20" t="b">
        <f>Data!V231</f>
        <v>0</v>
      </c>
      <c r="U231" s="20" t="b">
        <f>Data!W231</f>
        <v>0</v>
      </c>
      <c r="V231" s="20" t="b">
        <f>Data!X231</f>
        <v>1</v>
      </c>
      <c r="W231" s="20" t="b">
        <f>Data!Y231</f>
        <v>1</v>
      </c>
      <c r="X231" s="20">
        <f>Data!Z231</f>
        <v>0</v>
      </c>
      <c r="Y231" s="22">
        <f>Data!AL231</f>
        <v>0</v>
      </c>
      <c r="Z231" s="20">
        <f>Data!AC231</f>
        <v>0</v>
      </c>
      <c r="AA231" s="20">
        <f>Data!AE231</f>
        <v>0</v>
      </c>
      <c r="AB231" s="20">
        <f>Data!AG231</f>
        <v>0</v>
      </c>
      <c r="AC231" s="20" t="str">
        <f>CONCATENATE(Data!AI231," ",Data!AJ231)</f>
        <v xml:space="preserve"> </v>
      </c>
    </row>
    <row r="232" spans="1:29" ht="15">
      <c r="A232" s="20" t="str">
        <f>Data!A232</f>
        <v>デモ機</v>
      </c>
      <c r="B232" s="20" t="str">
        <f>Data!C232</f>
        <v>Entire Organization</v>
      </c>
      <c r="C232" s="20" t="str">
        <f>IF(Data!E232=0,"",Data!E232)</f>
        <v/>
      </c>
      <c r="D232" s="26">
        <f t="shared" si="3"/>
        <v>42065.875393518516</v>
      </c>
      <c r="E232" s="27">
        <f>Data!F232</f>
        <v>42065.875393518516</v>
      </c>
      <c r="F232" s="20" t="str">
        <f>Data!G232</f>
        <v>GpsRecord</v>
      </c>
      <c r="G232" s="20">
        <f>Data!H232</f>
        <v>2</v>
      </c>
      <c r="H232" s="20">
        <f>Data!I232</f>
        <v>139.39483999999999</v>
      </c>
      <c r="I232" s="20">
        <f>Data!J232</f>
        <v>35.585900000000002</v>
      </c>
      <c r="J232" s="21" t="str">
        <f>IF(Data!K232=0,"",Data!K232)</f>
        <v>日本, 〒194-0213 東京都町田市常盤町 町田街道</v>
      </c>
      <c r="K232" s="22">
        <f>Data!L232</f>
        <v>0</v>
      </c>
      <c r="L232" s="21" t="str">
        <f>IF(Data!N232=0,"",Data!N232)</f>
        <v>CurveZeroSpeed</v>
      </c>
      <c r="M232" s="20" t="b">
        <f>Data!O232</f>
        <v>1</v>
      </c>
      <c r="N232" s="20" t="b">
        <f>Data!P232</f>
        <v>0</v>
      </c>
      <c r="O232" s="20" t="b">
        <f>Data!Q232</f>
        <v>0</v>
      </c>
      <c r="P232" s="20" t="b">
        <f>Data!R232</f>
        <v>0</v>
      </c>
      <c r="Q232" s="20" t="b">
        <f>Data!S232</f>
        <v>0</v>
      </c>
      <c r="R232" s="20" t="b">
        <f>Data!T232</f>
        <v>0</v>
      </c>
      <c r="S232" s="20" t="b">
        <f>Data!U232</f>
        <v>0</v>
      </c>
      <c r="T232" s="20" t="b">
        <f>Data!V232</f>
        <v>0</v>
      </c>
      <c r="U232" s="20" t="b">
        <f>Data!W232</f>
        <v>0</v>
      </c>
      <c r="V232" s="20" t="b">
        <f>Data!X232</f>
        <v>1</v>
      </c>
      <c r="W232" s="20" t="b">
        <f>Data!Y232</f>
        <v>1</v>
      </c>
      <c r="X232" s="20">
        <f>Data!Z232</f>
        <v>0</v>
      </c>
      <c r="Y232" s="22">
        <f>Data!AL232</f>
        <v>0</v>
      </c>
      <c r="Z232" s="20">
        <f>Data!AC232</f>
        <v>0</v>
      </c>
      <c r="AA232" s="20">
        <f>Data!AE232</f>
        <v>0</v>
      </c>
      <c r="AB232" s="20">
        <f>Data!AG232</f>
        <v>0</v>
      </c>
      <c r="AC232" s="20" t="str">
        <f>CONCATENATE(Data!AI232," ",Data!AJ232)</f>
        <v xml:space="preserve"> </v>
      </c>
    </row>
    <row r="233" spans="1:29" ht="15">
      <c r="A233" s="20" t="str">
        <f>Data!A233</f>
        <v>デモ機</v>
      </c>
      <c r="B233" s="20" t="str">
        <f>Data!C233</f>
        <v>Entire Organization</v>
      </c>
      <c r="C233" s="20" t="str">
        <f>IF(Data!E233=0,"",Data!E233)</f>
        <v/>
      </c>
      <c r="D233" s="26">
        <f t="shared" si="3"/>
        <v>42065.875416666669</v>
      </c>
      <c r="E233" s="27">
        <f>Data!F233</f>
        <v>42065.875416666669</v>
      </c>
      <c r="F233" s="20" t="str">
        <f>Data!G233</f>
        <v>GpsRecord</v>
      </c>
      <c r="G233" s="20">
        <f>Data!H233</f>
        <v>0</v>
      </c>
      <c r="H233" s="20">
        <f>Data!I233</f>
        <v>139.39483999999999</v>
      </c>
      <c r="I233" s="20">
        <f>Data!J233</f>
        <v>35.585900000000002</v>
      </c>
      <c r="J233" s="21" t="str">
        <f>IF(Data!K233=0,"",Data!K233)</f>
        <v>日本, 〒194-0213 東京都町田市常盤町 町田街道</v>
      </c>
      <c r="K233" s="22">
        <f>Data!L233</f>
        <v>0</v>
      </c>
      <c r="L233" s="21" t="str">
        <f>IF(Data!N233=0,"",Data!N233)</f>
        <v>CurveZeroSpeed</v>
      </c>
      <c r="M233" s="20" t="b">
        <f>Data!O233</f>
        <v>1</v>
      </c>
      <c r="N233" s="20" t="b">
        <f>Data!P233</f>
        <v>0</v>
      </c>
      <c r="O233" s="20" t="b">
        <f>Data!Q233</f>
        <v>0</v>
      </c>
      <c r="P233" s="20" t="b">
        <f>Data!R233</f>
        <v>0</v>
      </c>
      <c r="Q233" s="20" t="b">
        <f>Data!S233</f>
        <v>0</v>
      </c>
      <c r="R233" s="20" t="b">
        <f>Data!T233</f>
        <v>0</v>
      </c>
      <c r="S233" s="20" t="b">
        <f>Data!U233</f>
        <v>0</v>
      </c>
      <c r="T233" s="20" t="b">
        <f>Data!V233</f>
        <v>0</v>
      </c>
      <c r="U233" s="20" t="b">
        <f>Data!W233</f>
        <v>0</v>
      </c>
      <c r="V233" s="20" t="b">
        <f>Data!X233</f>
        <v>1</v>
      </c>
      <c r="W233" s="20" t="b">
        <f>Data!Y233</f>
        <v>1</v>
      </c>
      <c r="X233" s="20">
        <f>Data!Z233</f>
        <v>0</v>
      </c>
      <c r="Y233" s="22">
        <f>Data!AL233</f>
        <v>0</v>
      </c>
      <c r="Z233" s="20">
        <f>Data!AC233</f>
        <v>0</v>
      </c>
      <c r="AA233" s="20">
        <f>Data!AE233</f>
        <v>0</v>
      </c>
      <c r="AB233" s="20">
        <f>Data!AG233</f>
        <v>0</v>
      </c>
      <c r="AC233" s="20" t="str">
        <f>CONCATENATE(Data!AI233," ",Data!AJ233)</f>
        <v xml:space="preserve"> </v>
      </c>
    </row>
    <row r="234" spans="1:29" ht="15">
      <c r="A234" s="20" t="str">
        <f>Data!A234</f>
        <v>デモ機</v>
      </c>
      <c r="B234" s="20" t="str">
        <f>Data!C234</f>
        <v>Entire Organization</v>
      </c>
      <c r="C234" s="20" t="str">
        <f>IF(Data!E234=0,"",Data!E234)</f>
        <v/>
      </c>
      <c r="D234" s="26">
        <f t="shared" si="3"/>
        <v>42065.875601851854</v>
      </c>
      <c r="E234" s="27">
        <f>Data!F234</f>
        <v>42065.875601851854</v>
      </c>
      <c r="F234" s="20" t="str">
        <f>Data!G234</f>
        <v>DebugRecord</v>
      </c>
      <c r="G234" s="20">
        <f>Data!H234</f>
        <v>0</v>
      </c>
      <c r="H234" s="20">
        <f>Data!I234</f>
        <v>0</v>
      </c>
      <c r="I234" s="20">
        <f>Data!J234</f>
        <v>0</v>
      </c>
      <c r="J234" s="21" t="str">
        <f>IF(Data!K234=0,"",Data!K234)</f>
        <v/>
      </c>
      <c r="K234" s="22">
        <f>Data!L234</f>
        <v>0</v>
      </c>
      <c r="L234" s="21" t="str">
        <f>IF(Data!N234=0,"",Data!N234)</f>
        <v>IntermittentConnectionTestProtocolCanObd</v>
      </c>
      <c r="M234" s="20">
        <f>Data!O234</f>
        <v>0</v>
      </c>
      <c r="N234" s="20">
        <f>Data!P234</f>
        <v>0</v>
      </c>
      <c r="O234" s="20">
        <f>Data!Q234</f>
        <v>0</v>
      </c>
      <c r="P234" s="20">
        <f>Data!R234</f>
        <v>0</v>
      </c>
      <c r="Q234" s="20">
        <f>Data!S234</f>
        <v>0</v>
      </c>
      <c r="R234" s="20">
        <f>Data!T234</f>
        <v>0</v>
      </c>
      <c r="S234" s="20">
        <f>Data!U234</f>
        <v>0</v>
      </c>
      <c r="T234" s="20">
        <f>Data!V234</f>
        <v>0</v>
      </c>
      <c r="U234" s="20">
        <f>Data!W234</f>
        <v>0</v>
      </c>
      <c r="V234" s="20">
        <f>Data!X234</f>
        <v>0</v>
      </c>
      <c r="W234" s="20">
        <f>Data!Y234</f>
        <v>0</v>
      </c>
      <c r="X234" s="20">
        <f>Data!Z234</f>
        <v>0</v>
      </c>
      <c r="Y234" s="22" t="str">
        <f>Data!AL234</f>
        <v>100000000000000000000000000000</v>
      </c>
      <c r="Z234" s="20">
        <f>Data!AC234</f>
        <v>0</v>
      </c>
      <c r="AA234" s="20">
        <f>Data!AE234</f>
        <v>0</v>
      </c>
      <c r="AB234" s="20">
        <f>Data!AG234</f>
        <v>0</v>
      </c>
      <c r="AC234" s="20" t="str">
        <f>CONCATENATE(Data!AI234," ",Data!AJ234)</f>
        <v xml:space="preserve"> </v>
      </c>
    </row>
    <row r="235" spans="1:29" ht="15">
      <c r="A235" s="20" t="str">
        <f>Data!A235</f>
        <v>デモ機</v>
      </c>
      <c r="B235" s="20" t="str">
        <f>Data!C235</f>
        <v>Entire Organization</v>
      </c>
      <c r="C235" s="20" t="str">
        <f>IF(Data!E235=0,"",Data!E235)</f>
        <v/>
      </c>
      <c r="D235" s="26">
        <f t="shared" si="3"/>
        <v>42065.875614895835</v>
      </c>
      <c r="E235" s="27">
        <f>Data!F235</f>
        <v>42065.875614895835</v>
      </c>
      <c r="F235" s="20" t="str">
        <f>Data!G235</f>
        <v>EngineStatusRecord</v>
      </c>
      <c r="G235" s="20">
        <f>Data!H235</f>
        <v>0</v>
      </c>
      <c r="H235" s="20">
        <f>Data!I235</f>
        <v>0</v>
      </c>
      <c r="I235" s="20">
        <f>Data!J235</f>
        <v>0</v>
      </c>
      <c r="J235" s="21" t="str">
        <f>IF(Data!K235=0,"",Data!K235)</f>
        <v/>
      </c>
      <c r="K235" s="22">
        <f>Data!L235</f>
        <v>0</v>
      </c>
      <c r="L235" s="21" t="str">
        <f>IF(Data!N235=0,"",Data!N235)</f>
        <v/>
      </c>
      <c r="M235" s="20">
        <f>Data!O235</f>
        <v>0</v>
      </c>
      <c r="N235" s="20">
        <f>Data!P235</f>
        <v>0</v>
      </c>
      <c r="O235" s="20">
        <f>Data!Q235</f>
        <v>0</v>
      </c>
      <c r="P235" s="20">
        <f>Data!R235</f>
        <v>0</v>
      </c>
      <c r="Q235" s="20">
        <f>Data!S235</f>
        <v>0</v>
      </c>
      <c r="R235" s="20">
        <f>Data!T235</f>
        <v>0</v>
      </c>
      <c r="S235" s="20">
        <f>Data!U235</f>
        <v>0</v>
      </c>
      <c r="T235" s="20">
        <f>Data!V235</f>
        <v>0</v>
      </c>
      <c r="U235" s="20">
        <f>Data!W235</f>
        <v>0</v>
      </c>
      <c r="V235" s="20">
        <f>Data!X235</f>
        <v>0</v>
      </c>
      <c r="W235" s="20">
        <f>Data!Y235</f>
        <v>0</v>
      </c>
      <c r="X235" s="20">
        <f>Data!Z235</f>
        <v>0</v>
      </c>
      <c r="Y235" s="22">
        <f>Data!AL235</f>
        <v>0</v>
      </c>
      <c r="Z235" s="20" t="str">
        <f>Data!AC235</f>
        <v>Ignition</v>
      </c>
      <c r="AA235" s="20" t="str">
        <f>Data!AE235</f>
        <v/>
      </c>
      <c r="AB235" s="20">
        <f>Data!AG235</f>
        <v>0</v>
      </c>
      <c r="AC235" s="20" t="str">
        <f>CONCATENATE(Data!AI235," ",Data!AJ235)</f>
        <v xml:space="preserve">0 </v>
      </c>
    </row>
    <row r="236" spans="1:29" ht="15">
      <c r="A236" s="20" t="str">
        <f>Data!A236</f>
        <v>デモ機</v>
      </c>
      <c r="B236" s="20" t="str">
        <f>Data!C236</f>
        <v>Entire Organization</v>
      </c>
      <c r="C236" s="20" t="str">
        <f>IF(Data!E236=0,"",Data!E236)</f>
        <v/>
      </c>
      <c r="D236" s="26">
        <f t="shared" si="3"/>
        <v>42065.875614895835</v>
      </c>
      <c r="E236" s="27">
        <f>Data!F236</f>
        <v>42065.875614895835</v>
      </c>
      <c r="F236" s="20" t="str">
        <f>Data!G236</f>
        <v>GpsRecord</v>
      </c>
      <c r="G236" s="20">
        <f>Data!H236</f>
        <v>0</v>
      </c>
      <c r="H236" s="20">
        <f>Data!I236</f>
        <v>139.39487</v>
      </c>
      <c r="I236" s="20">
        <f>Data!J236</f>
        <v>35.585920000000002</v>
      </c>
      <c r="J236" s="21" t="str">
        <f>IF(Data!K236=0,"",Data!K236)</f>
        <v>日本, 〒194-0213 東京都町田市常盤町 町田街道</v>
      </c>
      <c r="K236" s="22">
        <f>Data!L236</f>
        <v>0</v>
      </c>
      <c r="L236" s="21" t="str">
        <f>IF(Data!N236=0,"",Data!N236)</f>
        <v>Ignition</v>
      </c>
      <c r="M236" s="20" t="b">
        <f>Data!O236</f>
        <v>0</v>
      </c>
      <c r="N236" s="20" t="b">
        <f>Data!P236</f>
        <v>0</v>
      </c>
      <c r="O236" s="20" t="b">
        <f>Data!Q236</f>
        <v>0</v>
      </c>
      <c r="P236" s="20" t="b">
        <f>Data!R236</f>
        <v>0</v>
      </c>
      <c r="Q236" s="20" t="b">
        <f>Data!S236</f>
        <v>0</v>
      </c>
      <c r="R236" s="20" t="b">
        <f>Data!T236</f>
        <v>0</v>
      </c>
      <c r="S236" s="20" t="b">
        <f>Data!U236</f>
        <v>0</v>
      </c>
      <c r="T236" s="20" t="b">
        <f>Data!V236</f>
        <v>0</v>
      </c>
      <c r="U236" s="20" t="b">
        <f>Data!W236</f>
        <v>0</v>
      </c>
      <c r="V236" s="20" t="b">
        <f>Data!X236</f>
        <v>1</v>
      </c>
      <c r="W236" s="20" t="b">
        <f>Data!Y236</f>
        <v>1</v>
      </c>
      <c r="X236" s="20">
        <f>Data!Z236</f>
        <v>0</v>
      </c>
      <c r="Y236" s="22">
        <f>Data!AL236</f>
        <v>0</v>
      </c>
      <c r="Z236" s="20">
        <f>Data!AC236</f>
        <v>0</v>
      </c>
      <c r="AA236" s="20">
        <f>Data!AE236</f>
        <v>0</v>
      </c>
      <c r="AB236" s="20">
        <f>Data!AG236</f>
        <v>0</v>
      </c>
      <c r="AC236" s="20" t="str">
        <f>CONCATENATE(Data!AI236," ",Data!AJ236)</f>
        <v xml:space="preserve"> </v>
      </c>
    </row>
    <row r="237" spans="1:29" ht="15">
      <c r="A237" s="20" t="str">
        <f>Data!A237</f>
        <v>デモ機</v>
      </c>
      <c r="B237" s="20" t="str">
        <f>Data!C237</f>
        <v>Entire Organization</v>
      </c>
      <c r="C237" s="20" t="str">
        <f>IF(Data!E237=0,"",Data!E237)</f>
        <v/>
      </c>
      <c r="D237" s="26">
        <f t="shared" si="3"/>
        <v>42065.875689780092</v>
      </c>
      <c r="E237" s="27">
        <f>Data!F237</f>
        <v>42065.875689780092</v>
      </c>
      <c r="F237" s="20" t="str">
        <f>Data!G237</f>
        <v>EngineStatusRecord</v>
      </c>
      <c r="G237" s="20">
        <f>Data!H237</f>
        <v>0</v>
      </c>
      <c r="H237" s="20">
        <f>Data!I237</f>
        <v>0</v>
      </c>
      <c r="I237" s="20">
        <f>Data!J237</f>
        <v>0</v>
      </c>
      <c r="J237" s="21" t="str">
        <f>IF(Data!K237=0,"",Data!K237)</f>
        <v/>
      </c>
      <c r="K237" s="22">
        <f>Data!L237</f>
        <v>0</v>
      </c>
      <c r="L237" s="21" t="str">
        <f>IF(Data!N237=0,"",Data!N237)</f>
        <v/>
      </c>
      <c r="M237" s="20">
        <f>Data!O237</f>
        <v>0</v>
      </c>
      <c r="N237" s="20">
        <f>Data!P237</f>
        <v>0</v>
      </c>
      <c r="O237" s="20">
        <f>Data!Q237</f>
        <v>0</v>
      </c>
      <c r="P237" s="20">
        <f>Data!R237</f>
        <v>0</v>
      </c>
      <c r="Q237" s="20">
        <f>Data!S237</f>
        <v>0</v>
      </c>
      <c r="R237" s="20">
        <f>Data!T237</f>
        <v>0</v>
      </c>
      <c r="S237" s="20">
        <f>Data!U237</f>
        <v>0</v>
      </c>
      <c r="T237" s="20">
        <f>Data!V237</f>
        <v>0</v>
      </c>
      <c r="U237" s="20">
        <f>Data!W237</f>
        <v>0</v>
      </c>
      <c r="V237" s="20">
        <f>Data!X237</f>
        <v>0</v>
      </c>
      <c r="W237" s="20">
        <f>Data!Y237</f>
        <v>0</v>
      </c>
      <c r="X237" s="20">
        <f>Data!Z237</f>
        <v>0</v>
      </c>
      <c r="Y237" s="22">
        <f>Data!AL237</f>
        <v>0</v>
      </c>
      <c r="Z237" s="20" t="str">
        <f>Data!AC237</f>
        <v>Telematics device voltage</v>
      </c>
      <c r="AA237" s="20" t="str">
        <f>Data!AE237</f>
        <v/>
      </c>
      <c r="AB237" s="20">
        <f>Data!AG237</f>
        <v>0</v>
      </c>
      <c r="AC237" s="20" t="str">
        <f>CONCATENATE(Data!AI237," ",Data!AJ237)</f>
        <v>13.3588886 V</v>
      </c>
    </row>
    <row r="238" spans="1:29" ht="15">
      <c r="A238" s="20" t="str">
        <f>Data!A238</f>
        <v>デモ機</v>
      </c>
      <c r="B238" s="20" t="str">
        <f>Data!C238</f>
        <v>Entire Organization</v>
      </c>
      <c r="C238" s="20" t="str">
        <f>IF(Data!E238=0,"",Data!E238)</f>
        <v/>
      </c>
      <c r="D238" s="26">
        <f t="shared" si="3"/>
        <v>42065.875695104165</v>
      </c>
      <c r="E238" s="27">
        <f>Data!F238</f>
        <v>42065.875695104165</v>
      </c>
      <c r="F238" s="20" t="str">
        <f>Data!G238</f>
        <v>EngineStatusRecord</v>
      </c>
      <c r="G238" s="20">
        <f>Data!H238</f>
        <v>0</v>
      </c>
      <c r="H238" s="20">
        <f>Data!I238</f>
        <v>0</v>
      </c>
      <c r="I238" s="20">
        <f>Data!J238</f>
        <v>0</v>
      </c>
      <c r="J238" s="21" t="str">
        <f>IF(Data!K238=0,"",Data!K238)</f>
        <v/>
      </c>
      <c r="K238" s="22">
        <f>Data!L238</f>
        <v>0</v>
      </c>
      <c r="L238" s="21" t="str">
        <f>IF(Data!N238=0,"",Data!N238)</f>
        <v/>
      </c>
      <c r="M238" s="20">
        <f>Data!O238</f>
        <v>0</v>
      </c>
      <c r="N238" s="20">
        <f>Data!P238</f>
        <v>0</v>
      </c>
      <c r="O238" s="20">
        <f>Data!Q238</f>
        <v>0</v>
      </c>
      <c r="P238" s="20">
        <f>Data!R238</f>
        <v>0</v>
      </c>
      <c r="Q238" s="20">
        <f>Data!S238</f>
        <v>0</v>
      </c>
      <c r="R238" s="20">
        <f>Data!T238</f>
        <v>0</v>
      </c>
      <c r="S238" s="20">
        <f>Data!U238</f>
        <v>0</v>
      </c>
      <c r="T238" s="20">
        <f>Data!V238</f>
        <v>0</v>
      </c>
      <c r="U238" s="20">
        <f>Data!W238</f>
        <v>0</v>
      </c>
      <c r="V238" s="20">
        <f>Data!X238</f>
        <v>0</v>
      </c>
      <c r="W238" s="20">
        <f>Data!Y238</f>
        <v>0</v>
      </c>
      <c r="X238" s="20">
        <f>Data!Z238</f>
        <v>0</v>
      </c>
      <c r="Y238" s="22">
        <f>Data!AL238</f>
        <v>0</v>
      </c>
      <c r="Z238" s="20" t="str">
        <f>Data!AC238</f>
        <v>Total fuel used (since telematics device install)</v>
      </c>
      <c r="AA238" s="20" t="str">
        <f>Data!AE238</f>
        <v/>
      </c>
      <c r="AB238" s="20">
        <f>Data!AG238</f>
        <v>0</v>
      </c>
      <c r="AC238" s="20" t="str">
        <f>CONCATENATE(Data!AI238," ",Data!AJ238)</f>
        <v>0.34 L</v>
      </c>
    </row>
    <row r="239" spans="1:29" ht="15">
      <c r="A239" s="20" t="str">
        <f>Data!A239</f>
        <v>デモ機</v>
      </c>
      <c r="B239" s="20" t="str">
        <f>Data!C239</f>
        <v>Entire Organization</v>
      </c>
      <c r="C239" s="20" t="str">
        <f>IF(Data!E239=0,"",Data!E239)</f>
        <v/>
      </c>
      <c r="D239" s="26">
        <f t="shared" si="3"/>
        <v>42065.875695104165</v>
      </c>
      <c r="E239" s="27">
        <f>Data!F239</f>
        <v>42065.875695104165</v>
      </c>
      <c r="F239" s="20" t="str">
        <f>Data!G239</f>
        <v>DebugRecord</v>
      </c>
      <c r="G239" s="20">
        <f>Data!H239</f>
        <v>0</v>
      </c>
      <c r="H239" s="20">
        <f>Data!I239</f>
        <v>0</v>
      </c>
      <c r="I239" s="20">
        <f>Data!J239</f>
        <v>0</v>
      </c>
      <c r="J239" s="21" t="str">
        <f>IF(Data!K239=0,"",Data!K239)</f>
        <v/>
      </c>
      <c r="K239" s="22">
        <f>Data!L239</f>
        <v>0</v>
      </c>
      <c r="L239" s="21" t="str">
        <f>IF(Data!N239=0,"",Data!N239)</f>
        <v>DebugFuel</v>
      </c>
      <c r="M239" s="20">
        <f>Data!O239</f>
        <v>0</v>
      </c>
      <c r="N239" s="20">
        <f>Data!P239</f>
        <v>0</v>
      </c>
      <c r="O239" s="20">
        <f>Data!Q239</f>
        <v>0</v>
      </c>
      <c r="P239" s="20">
        <f>Data!R239</f>
        <v>0</v>
      </c>
      <c r="Q239" s="20">
        <f>Data!S239</f>
        <v>0</v>
      </c>
      <c r="R239" s="20">
        <f>Data!T239</f>
        <v>0</v>
      </c>
      <c r="S239" s="20">
        <f>Data!U239</f>
        <v>0</v>
      </c>
      <c r="T239" s="20">
        <f>Data!V239</f>
        <v>0</v>
      </c>
      <c r="U239" s="20">
        <f>Data!W239</f>
        <v>0</v>
      </c>
      <c r="V239" s="20">
        <f>Data!X239</f>
        <v>0</v>
      </c>
      <c r="W239" s="20">
        <f>Data!Y239</f>
        <v>0</v>
      </c>
      <c r="X239" s="20">
        <f>Data!Z239</f>
        <v>0</v>
      </c>
      <c r="Y239" s="22" t="str">
        <f>Data!AL239</f>
        <v>022200000047030000000000000000</v>
      </c>
      <c r="Z239" s="20">
        <f>Data!AC239</f>
        <v>0</v>
      </c>
      <c r="AA239" s="20">
        <f>Data!AE239</f>
        <v>0</v>
      </c>
      <c r="AB239" s="20">
        <f>Data!AG239</f>
        <v>0</v>
      </c>
      <c r="AC239" s="20" t="str">
        <f>CONCATENATE(Data!AI239," ",Data!AJ239)</f>
        <v xml:space="preserve"> </v>
      </c>
    </row>
    <row r="240" spans="1:29" ht="15">
      <c r="A240" s="20" t="str">
        <f>Data!A240</f>
        <v>デモ機</v>
      </c>
      <c r="B240" s="20" t="str">
        <f>Data!C240</f>
        <v>Entire Organization</v>
      </c>
      <c r="C240" s="20" t="str">
        <f>IF(Data!E240=0,"",Data!E240)</f>
        <v/>
      </c>
      <c r="D240" s="26">
        <f t="shared" si="3"/>
        <v>42065.875695104165</v>
      </c>
      <c r="E240" s="27">
        <f>Data!F240</f>
        <v>42065.875695104165</v>
      </c>
      <c r="F240" s="20" t="str">
        <f>Data!G240</f>
        <v>DebugRecord</v>
      </c>
      <c r="G240" s="20">
        <f>Data!H240</f>
        <v>0</v>
      </c>
      <c r="H240" s="20">
        <f>Data!I240</f>
        <v>0</v>
      </c>
      <c r="I240" s="20">
        <f>Data!J240</f>
        <v>0</v>
      </c>
      <c r="J240" s="21" t="str">
        <f>IF(Data!K240=0,"",Data!K240)</f>
        <v/>
      </c>
      <c r="K240" s="22">
        <f>Data!L240</f>
        <v>0</v>
      </c>
      <c r="L240" s="21" t="str">
        <f>IF(Data!N240=0,"",Data!N240)</f>
        <v>DebugGoDeviceDistance</v>
      </c>
      <c r="M240" s="20">
        <f>Data!O240</f>
        <v>0</v>
      </c>
      <c r="N240" s="20">
        <f>Data!P240</f>
        <v>0</v>
      </c>
      <c r="O240" s="20">
        <f>Data!Q240</f>
        <v>0</v>
      </c>
      <c r="P240" s="20">
        <f>Data!R240</f>
        <v>0</v>
      </c>
      <c r="Q240" s="20">
        <f>Data!S240</f>
        <v>0</v>
      </c>
      <c r="R240" s="20">
        <f>Data!T240</f>
        <v>0</v>
      </c>
      <c r="S240" s="20">
        <f>Data!U240</f>
        <v>0</v>
      </c>
      <c r="T240" s="20">
        <f>Data!V240</f>
        <v>0</v>
      </c>
      <c r="U240" s="20">
        <f>Data!W240</f>
        <v>0</v>
      </c>
      <c r="V240" s="20">
        <f>Data!X240</f>
        <v>0</v>
      </c>
      <c r="W240" s="20">
        <f>Data!Y240</f>
        <v>0</v>
      </c>
      <c r="X240" s="20">
        <f>Data!Z240</f>
        <v>0</v>
      </c>
      <c r="Y240" s="22" t="str">
        <f>Data!AL240</f>
        <v>750C00000000000000000000000000</v>
      </c>
      <c r="Z240" s="20">
        <f>Data!AC240</f>
        <v>0</v>
      </c>
      <c r="AA240" s="20">
        <f>Data!AE240</f>
        <v>0</v>
      </c>
      <c r="AB240" s="20">
        <f>Data!AG240</f>
        <v>0</v>
      </c>
      <c r="AC240" s="20" t="str">
        <f>CONCATENATE(Data!AI240," ",Data!AJ240)</f>
        <v xml:space="preserve"> </v>
      </c>
    </row>
    <row r="241" spans="1:29" ht="15">
      <c r="A241" s="20" t="str">
        <f>Data!A241</f>
        <v>デモ機</v>
      </c>
      <c r="B241" s="20" t="str">
        <f>Data!C241</f>
        <v>Entire Organization</v>
      </c>
      <c r="C241" s="20" t="str">
        <f>IF(Data!E241=0,"",Data!E241)</f>
        <v/>
      </c>
      <c r="D241" s="26">
        <f t="shared" si="3"/>
        <v>42065.875695104165</v>
      </c>
      <c r="E241" s="27">
        <f>Data!F241</f>
        <v>42065.875695104165</v>
      </c>
      <c r="F241" s="20" t="str">
        <f>Data!G241</f>
        <v>DebugRecord</v>
      </c>
      <c r="G241" s="20">
        <f>Data!H241</f>
        <v>0</v>
      </c>
      <c r="H241" s="20">
        <f>Data!I241</f>
        <v>0</v>
      </c>
      <c r="I241" s="20">
        <f>Data!J241</f>
        <v>0</v>
      </c>
      <c r="J241" s="21" t="str">
        <f>IF(Data!K241=0,"",Data!K241)</f>
        <v/>
      </c>
      <c r="K241" s="22">
        <f>Data!L241</f>
        <v>0</v>
      </c>
      <c r="L241" s="21" t="str">
        <f>IF(Data!N241=0,"",Data!N241)</f>
        <v>CanBusStatusDuringTrip</v>
      </c>
      <c r="M241" s="20">
        <f>Data!O241</f>
        <v>0</v>
      </c>
      <c r="N241" s="20">
        <f>Data!P241</f>
        <v>0</v>
      </c>
      <c r="O241" s="20">
        <f>Data!Q241</f>
        <v>0</v>
      </c>
      <c r="P241" s="20">
        <f>Data!R241</f>
        <v>0</v>
      </c>
      <c r="Q241" s="20">
        <f>Data!S241</f>
        <v>0</v>
      </c>
      <c r="R241" s="20">
        <f>Data!T241</f>
        <v>0</v>
      </c>
      <c r="S241" s="20">
        <f>Data!U241</f>
        <v>0</v>
      </c>
      <c r="T241" s="20">
        <f>Data!V241</f>
        <v>0</v>
      </c>
      <c r="U241" s="20">
        <f>Data!W241</f>
        <v>0</v>
      </c>
      <c r="V241" s="20">
        <f>Data!X241</f>
        <v>0</v>
      </c>
      <c r="W241" s="20">
        <f>Data!Y241</f>
        <v>0</v>
      </c>
      <c r="X241" s="20">
        <f>Data!Z241</f>
        <v>0</v>
      </c>
      <c r="Y241" s="22" t="str">
        <f>Data!AL241</f>
        <v>020000000000000000000000000000</v>
      </c>
      <c r="Z241" s="20">
        <f>Data!AC241</f>
        <v>0</v>
      </c>
      <c r="AA241" s="20">
        <f>Data!AE241</f>
        <v>0</v>
      </c>
      <c r="AB241" s="20">
        <f>Data!AG241</f>
        <v>0</v>
      </c>
      <c r="AC241" s="20" t="str">
        <f>CONCATENATE(Data!AI241," ",Data!AJ241)</f>
        <v xml:space="preserve"> </v>
      </c>
    </row>
    <row r="242" spans="1:29" ht="15">
      <c r="A242" s="20" t="str">
        <f>Data!A242</f>
        <v>デモ機</v>
      </c>
      <c r="B242" s="20" t="str">
        <f>Data!C242</f>
        <v>Entire Organization</v>
      </c>
      <c r="C242" s="20" t="str">
        <f>IF(Data!E242=0,"",Data!E242)</f>
        <v/>
      </c>
      <c r="D242" s="26">
        <f t="shared" si="3"/>
        <v>42065.875695219911</v>
      </c>
      <c r="E242" s="27">
        <f>Data!F242</f>
        <v>42065.875695219911</v>
      </c>
      <c r="F242" s="20" t="str">
        <f>Data!G242</f>
        <v>EngineStatusRecord</v>
      </c>
      <c r="G242" s="20">
        <f>Data!H242</f>
        <v>0</v>
      </c>
      <c r="H242" s="20">
        <f>Data!I242</f>
        <v>0</v>
      </c>
      <c r="I242" s="20">
        <f>Data!J242</f>
        <v>0</v>
      </c>
      <c r="J242" s="21" t="str">
        <f>IF(Data!K242=0,"",Data!K242)</f>
        <v/>
      </c>
      <c r="K242" s="22">
        <f>Data!L242</f>
        <v>0</v>
      </c>
      <c r="L242" s="21" t="str">
        <f>IF(Data!N242=0,"",Data!N242)</f>
        <v/>
      </c>
      <c r="M242" s="20">
        <f>Data!O242</f>
        <v>0</v>
      </c>
      <c r="N242" s="20">
        <f>Data!P242</f>
        <v>0</v>
      </c>
      <c r="O242" s="20">
        <f>Data!Q242</f>
        <v>0</v>
      </c>
      <c r="P242" s="20">
        <f>Data!R242</f>
        <v>0</v>
      </c>
      <c r="Q242" s="20">
        <f>Data!S242</f>
        <v>0</v>
      </c>
      <c r="R242" s="20">
        <f>Data!T242</f>
        <v>0</v>
      </c>
      <c r="S242" s="20">
        <f>Data!U242</f>
        <v>0</v>
      </c>
      <c r="T242" s="20">
        <f>Data!V242</f>
        <v>0</v>
      </c>
      <c r="U242" s="20">
        <f>Data!W242</f>
        <v>0</v>
      </c>
      <c r="V242" s="20">
        <f>Data!X242</f>
        <v>0</v>
      </c>
      <c r="W242" s="20">
        <f>Data!Y242</f>
        <v>0</v>
      </c>
      <c r="X242" s="20">
        <f>Data!Z242</f>
        <v>0</v>
      </c>
      <c r="Y242" s="22">
        <f>Data!AL242</f>
        <v>0</v>
      </c>
      <c r="Z242" s="20" t="str">
        <f>Data!AC242</f>
        <v>Total fuel used while idling (since telematics device install)</v>
      </c>
      <c r="AA242" s="20" t="str">
        <f>Data!AE242</f>
        <v/>
      </c>
      <c r="AB242" s="20">
        <f>Data!AG242</f>
        <v>0</v>
      </c>
      <c r="AC242" s="20" t="str">
        <f>CONCATENATE(Data!AI242," ",Data!AJ242)</f>
        <v>0.08 L</v>
      </c>
    </row>
    <row r="243" spans="1:29" ht="15">
      <c r="A243" s="20" t="str">
        <f>Data!A243</f>
        <v>デモ機</v>
      </c>
      <c r="B243" s="20" t="str">
        <f>Data!C243</f>
        <v>Entire Organization</v>
      </c>
      <c r="C243" s="20" t="str">
        <f>IF(Data!E243=0,"",Data!E243)</f>
        <v/>
      </c>
      <c r="D243" s="26">
        <f t="shared" si="3"/>
        <v>42065.87569533565</v>
      </c>
      <c r="E243" s="27">
        <f>Data!F243</f>
        <v>42065.87569533565</v>
      </c>
      <c r="F243" s="20" t="str">
        <f>Data!G243</f>
        <v>EngineStatusRecord</v>
      </c>
      <c r="G243" s="20">
        <f>Data!H243</f>
        <v>0</v>
      </c>
      <c r="H243" s="20">
        <f>Data!I243</f>
        <v>0</v>
      </c>
      <c r="I243" s="20">
        <f>Data!J243</f>
        <v>0</v>
      </c>
      <c r="J243" s="21" t="str">
        <f>IF(Data!K243=0,"",Data!K243)</f>
        <v/>
      </c>
      <c r="K243" s="22">
        <f>Data!L243</f>
        <v>0</v>
      </c>
      <c r="L243" s="21" t="str">
        <f>IF(Data!N243=0,"",Data!N243)</f>
        <v/>
      </c>
      <c r="M243" s="20">
        <f>Data!O243</f>
        <v>0</v>
      </c>
      <c r="N243" s="20">
        <f>Data!P243</f>
        <v>0</v>
      </c>
      <c r="O243" s="20">
        <f>Data!Q243</f>
        <v>0</v>
      </c>
      <c r="P243" s="20">
        <f>Data!R243</f>
        <v>0</v>
      </c>
      <c r="Q243" s="20">
        <f>Data!S243</f>
        <v>0</v>
      </c>
      <c r="R243" s="20">
        <f>Data!T243</f>
        <v>0</v>
      </c>
      <c r="S243" s="20">
        <f>Data!U243</f>
        <v>0</v>
      </c>
      <c r="T243" s="20">
        <f>Data!V243</f>
        <v>0</v>
      </c>
      <c r="U243" s="20">
        <f>Data!W243</f>
        <v>0</v>
      </c>
      <c r="V243" s="20">
        <f>Data!X243</f>
        <v>0</v>
      </c>
      <c r="W243" s="20">
        <f>Data!Y243</f>
        <v>0</v>
      </c>
      <c r="X243" s="20">
        <f>Data!Z243</f>
        <v>0</v>
      </c>
      <c r="Y243" s="22">
        <f>Data!AL243</f>
        <v>0</v>
      </c>
      <c r="Z243" s="20" t="str">
        <f>Data!AC243</f>
        <v>Trip fuel used</v>
      </c>
      <c r="AA243" s="20" t="str">
        <f>Data!AE243</f>
        <v/>
      </c>
      <c r="AB243" s="20">
        <f>Data!AG243</f>
        <v>0</v>
      </c>
      <c r="AC243" s="20" t="str">
        <f>CONCATENATE(Data!AI243," ",Data!AJ243)</f>
        <v>0.34 L</v>
      </c>
    </row>
    <row r="244" spans="1:29" ht="15">
      <c r="A244" s="20" t="str">
        <f>Data!A244</f>
        <v>デモ機</v>
      </c>
      <c r="B244" s="20" t="str">
        <f>Data!C244</f>
        <v>Entire Organization</v>
      </c>
      <c r="C244" s="20" t="str">
        <f>IF(Data!E244=0,"",Data!E244)</f>
        <v/>
      </c>
      <c r="D244" s="26">
        <f t="shared" si="3"/>
        <v>42065.875695451388</v>
      </c>
      <c r="E244" s="27">
        <f>Data!F244</f>
        <v>42065.875695451388</v>
      </c>
      <c r="F244" s="20" t="str">
        <f>Data!G244</f>
        <v>EngineStatusRecord</v>
      </c>
      <c r="G244" s="20">
        <f>Data!H244</f>
        <v>0</v>
      </c>
      <c r="H244" s="20">
        <f>Data!I244</f>
        <v>0</v>
      </c>
      <c r="I244" s="20">
        <f>Data!J244</f>
        <v>0</v>
      </c>
      <c r="J244" s="21" t="str">
        <f>IF(Data!K244=0,"",Data!K244)</f>
        <v/>
      </c>
      <c r="K244" s="22">
        <f>Data!L244</f>
        <v>0</v>
      </c>
      <c r="L244" s="21" t="str">
        <f>IF(Data!N244=0,"",Data!N244)</f>
        <v/>
      </c>
      <c r="M244" s="20">
        <f>Data!O244</f>
        <v>0</v>
      </c>
      <c r="N244" s="20">
        <f>Data!P244</f>
        <v>0</v>
      </c>
      <c r="O244" s="20">
        <f>Data!Q244</f>
        <v>0</v>
      </c>
      <c r="P244" s="20">
        <f>Data!R244</f>
        <v>0</v>
      </c>
      <c r="Q244" s="20">
        <f>Data!S244</f>
        <v>0</v>
      </c>
      <c r="R244" s="20">
        <f>Data!T244</f>
        <v>0</v>
      </c>
      <c r="S244" s="20">
        <f>Data!U244</f>
        <v>0</v>
      </c>
      <c r="T244" s="20">
        <f>Data!V244</f>
        <v>0</v>
      </c>
      <c r="U244" s="20">
        <f>Data!W244</f>
        <v>0</v>
      </c>
      <c r="V244" s="20">
        <f>Data!X244</f>
        <v>0</v>
      </c>
      <c r="W244" s="20">
        <f>Data!Y244</f>
        <v>0</v>
      </c>
      <c r="X244" s="20">
        <f>Data!Z244</f>
        <v>0</v>
      </c>
      <c r="Y244" s="22">
        <f>Data!AL244</f>
        <v>0</v>
      </c>
      <c r="Z244" s="20" t="str">
        <f>Data!AC244</f>
        <v>Trip idle fuel used</v>
      </c>
      <c r="AA244" s="20" t="str">
        <f>Data!AE244</f>
        <v/>
      </c>
      <c r="AB244" s="20">
        <f>Data!AG244</f>
        <v>0</v>
      </c>
      <c r="AC244" s="20" t="str">
        <f>CONCATENATE(Data!AI244," ",Data!AJ244)</f>
        <v>0.08 L</v>
      </c>
    </row>
    <row r="245" spans="1:29" ht="15">
      <c r="A245" s="20" t="str">
        <f>Data!A245</f>
        <v>デモ機</v>
      </c>
      <c r="B245" s="20" t="str">
        <f>Data!C245</f>
        <v>Entire Organization</v>
      </c>
      <c r="C245" s="20" t="str">
        <f>IF(Data!E245=0,"",Data!E245)</f>
        <v/>
      </c>
      <c r="D245" s="26">
        <f t="shared" si="3"/>
        <v>42065.875705868057</v>
      </c>
      <c r="E245" s="27">
        <f>Data!F245</f>
        <v>42065.875705868057</v>
      </c>
      <c r="F245" s="20" t="str">
        <f>Data!G245</f>
        <v>EngineStatusRecord</v>
      </c>
      <c r="G245" s="20">
        <f>Data!H245</f>
        <v>0</v>
      </c>
      <c r="H245" s="20">
        <f>Data!I245</f>
        <v>0</v>
      </c>
      <c r="I245" s="20">
        <f>Data!J245</f>
        <v>0</v>
      </c>
      <c r="J245" s="21" t="str">
        <f>IF(Data!K245=0,"",Data!K245)</f>
        <v/>
      </c>
      <c r="K245" s="22">
        <f>Data!L245</f>
        <v>0</v>
      </c>
      <c r="L245" s="21" t="str">
        <f>IF(Data!N245=0,"",Data!N245)</f>
        <v/>
      </c>
      <c r="M245" s="20">
        <f>Data!O245</f>
        <v>0</v>
      </c>
      <c r="N245" s="20">
        <f>Data!P245</f>
        <v>0</v>
      </c>
      <c r="O245" s="20">
        <f>Data!Q245</f>
        <v>0</v>
      </c>
      <c r="P245" s="20">
        <f>Data!R245</f>
        <v>0</v>
      </c>
      <c r="Q245" s="20">
        <f>Data!S245</f>
        <v>0</v>
      </c>
      <c r="R245" s="20">
        <f>Data!T245</f>
        <v>0</v>
      </c>
      <c r="S245" s="20">
        <f>Data!U245</f>
        <v>0</v>
      </c>
      <c r="T245" s="20">
        <f>Data!V245</f>
        <v>0</v>
      </c>
      <c r="U245" s="20">
        <f>Data!W245</f>
        <v>0</v>
      </c>
      <c r="V245" s="20">
        <f>Data!X245</f>
        <v>0</v>
      </c>
      <c r="W245" s="20">
        <f>Data!Y245</f>
        <v>0</v>
      </c>
      <c r="X245" s="20">
        <f>Data!Z245</f>
        <v>0</v>
      </c>
      <c r="Y245" s="22">
        <f>Data!AL245</f>
        <v>0</v>
      </c>
      <c r="Z245" s="20" t="str">
        <f>Data!AC245</f>
        <v>Acceleration up down</v>
      </c>
      <c r="AA245" s="20" t="str">
        <f>Data!AE245</f>
        <v/>
      </c>
      <c r="AB245" s="20">
        <f>Data!AG245</f>
        <v>0</v>
      </c>
      <c r="AC245" s="20" t="str">
        <f>CONCATENATE(Data!AI245," ",Data!AJ245)</f>
        <v>9.35554409027099 m/s^2</v>
      </c>
    </row>
    <row r="246" spans="1:29" ht="15">
      <c r="A246" s="20" t="str">
        <f>Data!A246</f>
        <v>デモ機</v>
      </c>
      <c r="B246" s="20" t="str">
        <f>Data!C246</f>
        <v>Entire Organization</v>
      </c>
      <c r="C246" s="20" t="str">
        <f>IF(Data!E246=0,"",Data!E246)</f>
        <v/>
      </c>
      <c r="D246" s="26">
        <f t="shared" si="3"/>
        <v>42065.875705868057</v>
      </c>
      <c r="E246" s="27">
        <f>Data!F246</f>
        <v>42065.875705868057</v>
      </c>
      <c r="F246" s="20" t="str">
        <f>Data!G246</f>
        <v>DebugRecord</v>
      </c>
      <c r="G246" s="20">
        <f>Data!H246</f>
        <v>0</v>
      </c>
      <c r="H246" s="20">
        <f>Data!I246</f>
        <v>0</v>
      </c>
      <c r="I246" s="20">
        <f>Data!J246</f>
        <v>0</v>
      </c>
      <c r="J246" s="21" t="str">
        <f>IF(Data!K246=0,"",Data!K246)</f>
        <v/>
      </c>
      <c r="K246" s="22">
        <f>Data!L246</f>
        <v>0</v>
      </c>
      <c r="L246" s="21" t="str">
        <f>IF(Data!N246=0,"",Data!N246)</f>
        <v>RpmTimeout</v>
      </c>
      <c r="M246" s="20">
        <f>Data!O246</f>
        <v>0</v>
      </c>
      <c r="N246" s="20">
        <f>Data!P246</f>
        <v>0</v>
      </c>
      <c r="O246" s="20">
        <f>Data!Q246</f>
        <v>0</v>
      </c>
      <c r="P246" s="20">
        <f>Data!R246</f>
        <v>0</v>
      </c>
      <c r="Q246" s="20">
        <f>Data!S246</f>
        <v>0</v>
      </c>
      <c r="R246" s="20">
        <f>Data!T246</f>
        <v>0</v>
      </c>
      <c r="S246" s="20">
        <f>Data!U246</f>
        <v>0</v>
      </c>
      <c r="T246" s="20">
        <f>Data!V246</f>
        <v>0</v>
      </c>
      <c r="U246" s="20">
        <f>Data!W246</f>
        <v>0</v>
      </c>
      <c r="V246" s="20">
        <f>Data!X246</f>
        <v>0</v>
      </c>
      <c r="W246" s="20">
        <f>Data!Y246</f>
        <v>0</v>
      </c>
      <c r="X246" s="20">
        <f>Data!Z246</f>
        <v>0</v>
      </c>
      <c r="Y246" s="22" t="str">
        <f>Data!AL246</f>
        <v>530BFFBF0000000000000000000000</v>
      </c>
      <c r="Z246" s="20">
        <f>Data!AC246</f>
        <v>0</v>
      </c>
      <c r="AA246" s="20">
        <f>Data!AE246</f>
        <v>0</v>
      </c>
      <c r="AB246" s="20">
        <f>Data!AG246</f>
        <v>0</v>
      </c>
      <c r="AC246" s="20" t="str">
        <f>CONCATENATE(Data!AI246," ",Data!AJ246)</f>
        <v xml:space="preserve"> </v>
      </c>
    </row>
    <row r="247" spans="1:29" ht="15">
      <c r="A247" s="20" t="str">
        <f>Data!A247</f>
        <v>デモ機</v>
      </c>
      <c r="B247" s="20" t="str">
        <f>Data!C247</f>
        <v>Entire Organization</v>
      </c>
      <c r="C247" s="20" t="str">
        <f>IF(Data!E247=0,"",Data!E247)</f>
        <v/>
      </c>
      <c r="D247" s="26">
        <f t="shared" si="3"/>
        <v>42065.875705868057</v>
      </c>
      <c r="E247" s="27">
        <f>Data!F247</f>
        <v>42065.875705868057</v>
      </c>
      <c r="F247" s="20" t="str">
        <f>Data!G247</f>
        <v>EngineStatusRecord</v>
      </c>
      <c r="G247" s="20">
        <f>Data!H247</f>
        <v>0</v>
      </c>
      <c r="H247" s="20">
        <f>Data!I247</f>
        <v>0</v>
      </c>
      <c r="I247" s="20">
        <f>Data!J247</f>
        <v>0</v>
      </c>
      <c r="J247" s="21" t="str">
        <f>IF(Data!K247=0,"",Data!K247)</f>
        <v/>
      </c>
      <c r="K247" s="22">
        <f>Data!L247</f>
        <v>0</v>
      </c>
      <c r="L247" s="21" t="str">
        <f>IF(Data!N247=0,"",Data!N247)</f>
        <v/>
      </c>
      <c r="M247" s="20">
        <f>Data!O247</f>
        <v>0</v>
      </c>
      <c r="N247" s="20">
        <f>Data!P247</f>
        <v>0</v>
      </c>
      <c r="O247" s="20">
        <f>Data!Q247</f>
        <v>0</v>
      </c>
      <c r="P247" s="20">
        <f>Data!R247</f>
        <v>0</v>
      </c>
      <c r="Q247" s="20">
        <f>Data!S247</f>
        <v>0</v>
      </c>
      <c r="R247" s="20">
        <f>Data!T247</f>
        <v>0</v>
      </c>
      <c r="S247" s="20">
        <f>Data!U247</f>
        <v>0</v>
      </c>
      <c r="T247" s="20">
        <f>Data!V247</f>
        <v>0</v>
      </c>
      <c r="U247" s="20">
        <f>Data!W247</f>
        <v>0</v>
      </c>
      <c r="V247" s="20">
        <f>Data!X247</f>
        <v>0</v>
      </c>
      <c r="W247" s="20">
        <f>Data!Y247</f>
        <v>0</v>
      </c>
      <c r="X247" s="20">
        <f>Data!Z247</f>
        <v>0</v>
      </c>
      <c r="Y247" s="22">
        <f>Data!AL247</f>
        <v>0</v>
      </c>
      <c r="Z247" s="20" t="str">
        <f>Data!AC247</f>
        <v>Vehicle active (idle or driving)</v>
      </c>
      <c r="AA247" s="20" t="str">
        <f>Data!AE247</f>
        <v/>
      </c>
      <c r="AB247" s="20">
        <f>Data!AG247</f>
        <v>0</v>
      </c>
      <c r="AC247" s="20" t="str">
        <f>CONCATENATE(Data!AI247," ",Data!AJ247)</f>
        <v xml:space="preserve">0 </v>
      </c>
    </row>
    <row r="248" spans="1:29" ht="15">
      <c r="A248" s="20" t="str">
        <f>Data!A248</f>
        <v>デモ機</v>
      </c>
      <c r="B248" s="20" t="str">
        <f>Data!C248</f>
        <v>Entire Organization</v>
      </c>
      <c r="C248" s="20" t="str">
        <f>IF(Data!E248=0,"",Data!E248)</f>
        <v/>
      </c>
      <c r="D248" s="26">
        <f t="shared" si="3"/>
        <v>42065.875705868057</v>
      </c>
      <c r="E248" s="27">
        <f>Data!F248</f>
        <v>42065.875705868057</v>
      </c>
      <c r="F248" s="20" t="str">
        <f>Data!G248</f>
        <v>EngineStatusRecord</v>
      </c>
      <c r="G248" s="20">
        <f>Data!H248</f>
        <v>0</v>
      </c>
      <c r="H248" s="20">
        <f>Data!I248</f>
        <v>0</v>
      </c>
      <c r="I248" s="20">
        <f>Data!J248</f>
        <v>0</v>
      </c>
      <c r="J248" s="21" t="str">
        <f>IF(Data!K248=0,"",Data!K248)</f>
        <v/>
      </c>
      <c r="K248" s="22">
        <f>Data!L248</f>
        <v>0</v>
      </c>
      <c r="L248" s="21" t="str">
        <f>IF(Data!N248=0,"",Data!N248)</f>
        <v/>
      </c>
      <c r="M248" s="20">
        <f>Data!O248</f>
        <v>0</v>
      </c>
      <c r="N248" s="20">
        <f>Data!P248</f>
        <v>0</v>
      </c>
      <c r="O248" s="20">
        <f>Data!Q248</f>
        <v>0</v>
      </c>
      <c r="P248" s="20">
        <f>Data!R248</f>
        <v>0</v>
      </c>
      <c r="Q248" s="20">
        <f>Data!S248</f>
        <v>0</v>
      </c>
      <c r="R248" s="20">
        <f>Data!T248</f>
        <v>0</v>
      </c>
      <c r="S248" s="20">
        <f>Data!U248</f>
        <v>0</v>
      </c>
      <c r="T248" s="20">
        <f>Data!V248</f>
        <v>0</v>
      </c>
      <c r="U248" s="20">
        <f>Data!W248</f>
        <v>0</v>
      </c>
      <c r="V248" s="20">
        <f>Data!X248</f>
        <v>0</v>
      </c>
      <c r="W248" s="20">
        <f>Data!Y248</f>
        <v>0</v>
      </c>
      <c r="X248" s="20">
        <f>Data!Z248</f>
        <v>0</v>
      </c>
      <c r="Y248" s="22">
        <f>Data!AL248</f>
        <v>0</v>
      </c>
      <c r="Z248" s="20" t="str">
        <f>Data!AC248</f>
        <v>Acceleration forward or braking</v>
      </c>
      <c r="AA248" s="20" t="str">
        <f>Data!AE248</f>
        <v/>
      </c>
      <c r="AB248" s="20">
        <f>Data!AG248</f>
        <v>0</v>
      </c>
      <c r="AC248" s="20" t="str">
        <f>CONCATENATE(Data!AI248," ",Data!AJ248)</f>
        <v>0 m/s^2</v>
      </c>
    </row>
    <row r="249" spans="1:29" ht="15">
      <c r="A249" s="20" t="str">
        <f>Data!A249</f>
        <v>デモ機</v>
      </c>
      <c r="B249" s="20" t="str">
        <f>Data!C249</f>
        <v>Entire Organization</v>
      </c>
      <c r="C249" s="20" t="str">
        <f>IF(Data!E249=0,"",Data!E249)</f>
        <v/>
      </c>
      <c r="D249" s="26">
        <f t="shared" si="3"/>
        <v>42065.875705868057</v>
      </c>
      <c r="E249" s="27">
        <f>Data!F249</f>
        <v>42065.875705868057</v>
      </c>
      <c r="F249" s="20" t="str">
        <f>Data!G249</f>
        <v>EngineStatusRecord</v>
      </c>
      <c r="G249" s="20">
        <f>Data!H249</f>
        <v>0</v>
      </c>
      <c r="H249" s="20">
        <f>Data!I249</f>
        <v>0</v>
      </c>
      <c r="I249" s="20">
        <f>Data!J249</f>
        <v>0</v>
      </c>
      <c r="J249" s="21" t="str">
        <f>IF(Data!K249=0,"",Data!K249)</f>
        <v/>
      </c>
      <c r="K249" s="22">
        <f>Data!L249</f>
        <v>0</v>
      </c>
      <c r="L249" s="21" t="str">
        <f>IF(Data!N249=0,"",Data!N249)</f>
        <v/>
      </c>
      <c r="M249" s="20">
        <f>Data!O249</f>
        <v>0</v>
      </c>
      <c r="N249" s="20">
        <f>Data!P249</f>
        <v>0</v>
      </c>
      <c r="O249" s="20">
        <f>Data!Q249</f>
        <v>0</v>
      </c>
      <c r="P249" s="20">
        <f>Data!R249</f>
        <v>0</v>
      </c>
      <c r="Q249" s="20">
        <f>Data!S249</f>
        <v>0</v>
      </c>
      <c r="R249" s="20">
        <f>Data!T249</f>
        <v>0</v>
      </c>
      <c r="S249" s="20">
        <f>Data!U249</f>
        <v>0</v>
      </c>
      <c r="T249" s="20">
        <f>Data!V249</f>
        <v>0</v>
      </c>
      <c r="U249" s="20">
        <f>Data!W249</f>
        <v>0</v>
      </c>
      <c r="V249" s="20">
        <f>Data!X249</f>
        <v>0</v>
      </c>
      <c r="W249" s="20">
        <f>Data!Y249</f>
        <v>0</v>
      </c>
      <c r="X249" s="20">
        <f>Data!Z249</f>
        <v>0</v>
      </c>
      <c r="Y249" s="22">
        <f>Data!AL249</f>
        <v>0</v>
      </c>
      <c r="Z249" s="20" t="str">
        <f>Data!AC249</f>
        <v>Acceleration side to side</v>
      </c>
      <c r="AA249" s="20" t="str">
        <f>Data!AE249</f>
        <v/>
      </c>
      <c r="AB249" s="20">
        <f>Data!AG249</f>
        <v>0</v>
      </c>
      <c r="AC249" s="20" t="str">
        <f>CONCATENATE(Data!AI249," ",Data!AJ249)</f>
        <v>0 m/s^2</v>
      </c>
    </row>
    <row r="250" spans="1:29" ht="15">
      <c r="A250" s="20" t="str">
        <f>Data!A250</f>
        <v>デモ機</v>
      </c>
      <c r="B250" s="20" t="str">
        <f>Data!C250</f>
        <v>Entire Organization</v>
      </c>
      <c r="C250" s="20" t="str">
        <f>IF(Data!E250=0,"",Data!E250)</f>
        <v/>
      </c>
      <c r="D250" s="26">
        <f t="shared" si="3"/>
        <v>42065.875705937498</v>
      </c>
      <c r="E250" s="27">
        <f>Data!F250</f>
        <v>42065.875705937498</v>
      </c>
      <c r="F250" s="20" t="str">
        <f>Data!G250</f>
        <v>EngineStatusRecord</v>
      </c>
      <c r="G250" s="20">
        <f>Data!H250</f>
        <v>0</v>
      </c>
      <c r="H250" s="20">
        <f>Data!I250</f>
        <v>0</v>
      </c>
      <c r="I250" s="20">
        <f>Data!J250</f>
        <v>0</v>
      </c>
      <c r="J250" s="21" t="str">
        <f>IF(Data!K250=0,"",Data!K250)</f>
        <v/>
      </c>
      <c r="K250" s="22">
        <f>Data!L250</f>
        <v>0</v>
      </c>
      <c r="L250" s="21" t="str">
        <f>IF(Data!N250=0,"",Data!N250)</f>
        <v/>
      </c>
      <c r="M250" s="20">
        <f>Data!O250</f>
        <v>0</v>
      </c>
      <c r="N250" s="20">
        <f>Data!P250</f>
        <v>0</v>
      </c>
      <c r="O250" s="20">
        <f>Data!Q250</f>
        <v>0</v>
      </c>
      <c r="P250" s="20">
        <f>Data!R250</f>
        <v>0</v>
      </c>
      <c r="Q250" s="20">
        <f>Data!S250</f>
        <v>0</v>
      </c>
      <c r="R250" s="20">
        <f>Data!T250</f>
        <v>0</v>
      </c>
      <c r="S250" s="20">
        <f>Data!U250</f>
        <v>0</v>
      </c>
      <c r="T250" s="20">
        <f>Data!V250</f>
        <v>0</v>
      </c>
      <c r="U250" s="20">
        <f>Data!W250</f>
        <v>0</v>
      </c>
      <c r="V250" s="20">
        <f>Data!X250</f>
        <v>0</v>
      </c>
      <c r="W250" s="20">
        <f>Data!Y250</f>
        <v>0</v>
      </c>
      <c r="X250" s="20">
        <f>Data!Z250</f>
        <v>0</v>
      </c>
      <c r="Y250" s="22">
        <f>Data!AL250</f>
        <v>0</v>
      </c>
      <c r="Z250" s="20" t="str">
        <f>Data!AC250</f>
        <v>Vehicle angle of inclination</v>
      </c>
      <c r="AA250" s="20" t="str">
        <f>Data!AE250</f>
        <v/>
      </c>
      <c r="AB250" s="20">
        <f>Data!AG250</f>
        <v>0</v>
      </c>
      <c r="AC250" s="20" t="str">
        <f>CONCATENATE(Data!AI250," ",Data!AJ250)</f>
        <v>0.261799435 rad</v>
      </c>
    </row>
    <row r="251" spans="1:29" ht="15">
      <c r="A251" s="20" t="str">
        <f>Data!A251</f>
        <v>デモ機</v>
      </c>
      <c r="B251" s="20" t="str">
        <f>Data!C251</f>
        <v>Entire Organization</v>
      </c>
      <c r="C251" s="20" t="str">
        <f>IF(Data!E251=0,"",Data!E251)</f>
        <v/>
      </c>
      <c r="D251" s="26">
        <f t="shared" si="3"/>
        <v>42065.875706053244</v>
      </c>
      <c r="E251" s="27">
        <f>Data!F251</f>
        <v>42065.875706053244</v>
      </c>
      <c r="F251" s="20" t="str">
        <f>Data!G251</f>
        <v>EngineStatusRecord</v>
      </c>
      <c r="G251" s="20">
        <f>Data!H251</f>
        <v>0</v>
      </c>
      <c r="H251" s="20">
        <f>Data!I251</f>
        <v>0</v>
      </c>
      <c r="I251" s="20">
        <f>Data!J251</f>
        <v>0</v>
      </c>
      <c r="J251" s="21" t="str">
        <f>IF(Data!K251=0,"",Data!K251)</f>
        <v/>
      </c>
      <c r="K251" s="22">
        <f>Data!L251</f>
        <v>0</v>
      </c>
      <c r="L251" s="21" t="str">
        <f>IF(Data!N251=0,"",Data!N251)</f>
        <v/>
      </c>
      <c r="M251" s="20">
        <f>Data!O251</f>
        <v>0</v>
      </c>
      <c r="N251" s="20">
        <f>Data!P251</f>
        <v>0</v>
      </c>
      <c r="O251" s="20">
        <f>Data!Q251</f>
        <v>0</v>
      </c>
      <c r="P251" s="20">
        <f>Data!R251</f>
        <v>0</v>
      </c>
      <c r="Q251" s="20">
        <f>Data!S251</f>
        <v>0</v>
      </c>
      <c r="R251" s="20">
        <f>Data!T251</f>
        <v>0</v>
      </c>
      <c r="S251" s="20">
        <f>Data!U251</f>
        <v>0</v>
      </c>
      <c r="T251" s="20">
        <f>Data!V251</f>
        <v>0</v>
      </c>
      <c r="U251" s="20">
        <f>Data!W251</f>
        <v>0</v>
      </c>
      <c r="V251" s="20">
        <f>Data!X251</f>
        <v>0</v>
      </c>
      <c r="W251" s="20">
        <f>Data!Y251</f>
        <v>0</v>
      </c>
      <c r="X251" s="20">
        <f>Data!Z251</f>
        <v>0</v>
      </c>
      <c r="Y251" s="22">
        <f>Data!AL251</f>
        <v>0</v>
      </c>
      <c r="Z251" s="20" t="str">
        <f>Data!AC251</f>
        <v>Engine RPM</v>
      </c>
      <c r="AA251" s="20" t="str">
        <f>Data!AE251</f>
        <v/>
      </c>
      <c r="AB251" s="20">
        <f>Data!AG251</f>
        <v>0</v>
      </c>
      <c r="AC251" s="20" t="str">
        <f>CONCATENATE(Data!AI251," ",Data!AJ251)</f>
        <v>0 RPM</v>
      </c>
    </row>
    <row r="252" spans="1:29" ht="15">
      <c r="A252" s="20" t="str">
        <f>Data!A252</f>
        <v>デモ機</v>
      </c>
      <c r="B252" s="20" t="str">
        <f>Data!C252</f>
        <v>Entire Organization</v>
      </c>
      <c r="C252" s="20" t="str">
        <f>IF(Data!E252=0,"",Data!E252)</f>
        <v/>
      </c>
      <c r="D252" s="26">
        <f t="shared" si="3"/>
        <v>42065.875822222224</v>
      </c>
      <c r="E252" s="27">
        <f>Data!F252</f>
        <v>42065.875822222224</v>
      </c>
      <c r="F252" s="20" t="str">
        <f>Data!G252</f>
        <v>DebugRecord</v>
      </c>
      <c r="G252" s="20">
        <f>Data!H252</f>
        <v>0</v>
      </c>
      <c r="H252" s="20">
        <f>Data!I252</f>
        <v>0</v>
      </c>
      <c r="I252" s="20">
        <f>Data!J252</f>
        <v>0</v>
      </c>
      <c r="J252" s="21" t="str">
        <f>IF(Data!K252=0,"",Data!K252)</f>
        <v/>
      </c>
      <c r="K252" s="22">
        <f>Data!L252</f>
        <v>0</v>
      </c>
      <c r="L252" s="21" t="str">
        <f>IF(Data!N252=0,"",Data!N252)</f>
        <v>CanBusStatusAtIgnitionOff</v>
      </c>
      <c r="M252" s="20">
        <f>Data!O252</f>
        <v>0</v>
      </c>
      <c r="N252" s="20">
        <f>Data!P252</f>
        <v>0</v>
      </c>
      <c r="O252" s="20">
        <f>Data!Q252</f>
        <v>0</v>
      </c>
      <c r="P252" s="20">
        <f>Data!R252</f>
        <v>0</v>
      </c>
      <c r="Q252" s="20">
        <f>Data!S252</f>
        <v>0</v>
      </c>
      <c r="R252" s="20">
        <f>Data!T252</f>
        <v>0</v>
      </c>
      <c r="S252" s="20">
        <f>Data!U252</f>
        <v>0</v>
      </c>
      <c r="T252" s="20">
        <f>Data!V252</f>
        <v>0</v>
      </c>
      <c r="U252" s="20">
        <f>Data!W252</f>
        <v>0</v>
      </c>
      <c r="V252" s="20">
        <f>Data!X252</f>
        <v>0</v>
      </c>
      <c r="W252" s="20">
        <f>Data!Y252</f>
        <v>0</v>
      </c>
      <c r="X252" s="20">
        <f>Data!Z252</f>
        <v>0</v>
      </c>
      <c r="Y252" s="22" t="str">
        <f>Data!AL252</f>
        <v>000000000000000000000000000000</v>
      </c>
      <c r="Z252" s="20">
        <f>Data!AC252</f>
        <v>0</v>
      </c>
      <c r="AA252" s="20">
        <f>Data!AE252</f>
        <v>0</v>
      </c>
      <c r="AB252" s="20">
        <f>Data!AG252</f>
        <v>0</v>
      </c>
      <c r="AC252" s="20" t="str">
        <f>CONCATENATE(Data!AI252," ",Data!AJ252)</f>
        <v xml:space="preserve"> </v>
      </c>
    </row>
    <row r="253" spans="1:29" ht="15">
      <c r="A253" s="20" t="str">
        <f>Data!A253</f>
        <v>デモ機</v>
      </c>
      <c r="B253" s="20" t="str">
        <f>Data!C253</f>
        <v>Entire Organization</v>
      </c>
      <c r="C253" s="20" t="str">
        <f>IF(Data!E253=0,"",Data!E253)</f>
        <v/>
      </c>
      <c r="D253" s="26">
        <f t="shared" si="3"/>
        <v>42065.876037002316</v>
      </c>
      <c r="E253" s="27">
        <f>Data!F253</f>
        <v>42065.876037002316</v>
      </c>
      <c r="F253" s="20" t="str">
        <f>Data!G253</f>
        <v>EngineStatusRecord</v>
      </c>
      <c r="G253" s="20">
        <f>Data!H253</f>
        <v>0</v>
      </c>
      <c r="H253" s="20">
        <f>Data!I253</f>
        <v>0</v>
      </c>
      <c r="I253" s="20">
        <f>Data!J253</f>
        <v>0</v>
      </c>
      <c r="J253" s="21" t="str">
        <f>IF(Data!K253=0,"",Data!K253)</f>
        <v/>
      </c>
      <c r="K253" s="22">
        <f>Data!L253</f>
        <v>0</v>
      </c>
      <c r="L253" s="21" t="str">
        <f>IF(Data!N253=0,"",Data!N253)</f>
        <v/>
      </c>
      <c r="M253" s="20">
        <f>Data!O253</f>
        <v>0</v>
      </c>
      <c r="N253" s="20">
        <f>Data!P253</f>
        <v>0</v>
      </c>
      <c r="O253" s="20">
        <f>Data!Q253</f>
        <v>0</v>
      </c>
      <c r="P253" s="20">
        <f>Data!R253</f>
        <v>0</v>
      </c>
      <c r="Q253" s="20">
        <f>Data!S253</f>
        <v>0</v>
      </c>
      <c r="R253" s="20">
        <f>Data!T253</f>
        <v>0</v>
      </c>
      <c r="S253" s="20">
        <f>Data!U253</f>
        <v>0</v>
      </c>
      <c r="T253" s="20">
        <f>Data!V253</f>
        <v>0</v>
      </c>
      <c r="U253" s="20">
        <f>Data!W253</f>
        <v>0</v>
      </c>
      <c r="V253" s="20">
        <f>Data!X253</f>
        <v>0</v>
      </c>
      <c r="W253" s="20">
        <f>Data!Y253</f>
        <v>0</v>
      </c>
      <c r="X253" s="20">
        <f>Data!Z253</f>
        <v>0</v>
      </c>
      <c r="Y253" s="22">
        <f>Data!AL253</f>
        <v>0</v>
      </c>
      <c r="Z253" s="20" t="str">
        <f>Data!AC253</f>
        <v>Telematics device voltage</v>
      </c>
      <c r="AA253" s="20" t="str">
        <f>Data!AE253</f>
        <v/>
      </c>
      <c r="AB253" s="20">
        <f>Data!AG253</f>
        <v>0</v>
      </c>
      <c r="AC253" s="20" t="str">
        <f>CONCATENATE(Data!AI253," ",Data!AJ253)</f>
        <v>13.0368891 V</v>
      </c>
    </row>
    <row r="254" spans="1:29" ht="15">
      <c r="A254" s="20" t="str">
        <f>Data!A254</f>
        <v>デモ機</v>
      </c>
      <c r="B254" s="20" t="str">
        <f>Data!C254</f>
        <v>Entire Organization</v>
      </c>
      <c r="C254" s="20" t="str">
        <f>IF(Data!E254=0,"",Data!E254)</f>
        <v/>
      </c>
      <c r="D254" s="26">
        <f t="shared" si="3"/>
        <v>42065.877627314818</v>
      </c>
      <c r="E254" s="27">
        <f>Data!F254</f>
        <v>42065.877627314818</v>
      </c>
      <c r="F254" s="20" t="str">
        <f>Data!G254</f>
        <v>DebugRecord</v>
      </c>
      <c r="G254" s="20">
        <f>Data!H254</f>
        <v>0</v>
      </c>
      <c r="H254" s="20">
        <f>Data!I254</f>
        <v>0</v>
      </c>
      <c r="I254" s="20">
        <f>Data!J254</f>
        <v>0</v>
      </c>
      <c r="J254" s="21" t="str">
        <f>IF(Data!K254=0,"",Data!K254)</f>
        <v/>
      </c>
      <c r="K254" s="22">
        <f>Data!L254</f>
        <v>0</v>
      </c>
      <c r="L254" s="21" t="str">
        <f>IF(Data!N254=0,"",Data!N254)</f>
        <v>IntermittentConnectionTestProtocolCanObd</v>
      </c>
      <c r="M254" s="20">
        <f>Data!O254</f>
        <v>0</v>
      </c>
      <c r="N254" s="20">
        <f>Data!P254</f>
        <v>0</v>
      </c>
      <c r="O254" s="20">
        <f>Data!Q254</f>
        <v>0</v>
      </c>
      <c r="P254" s="20">
        <f>Data!R254</f>
        <v>0</v>
      </c>
      <c r="Q254" s="20">
        <f>Data!S254</f>
        <v>0</v>
      </c>
      <c r="R254" s="20">
        <f>Data!T254</f>
        <v>0</v>
      </c>
      <c r="S254" s="20">
        <f>Data!U254</f>
        <v>0</v>
      </c>
      <c r="T254" s="20">
        <f>Data!V254</f>
        <v>0</v>
      </c>
      <c r="U254" s="20">
        <f>Data!W254</f>
        <v>0</v>
      </c>
      <c r="V254" s="20">
        <f>Data!X254</f>
        <v>0</v>
      </c>
      <c r="W254" s="20">
        <f>Data!Y254</f>
        <v>0</v>
      </c>
      <c r="X254" s="20">
        <f>Data!Z254</f>
        <v>0</v>
      </c>
      <c r="Y254" s="22" t="str">
        <f>Data!AL254</f>
        <v>000000000000000000000000000000</v>
      </c>
      <c r="Z254" s="20">
        <f>Data!AC254</f>
        <v>0</v>
      </c>
      <c r="AA254" s="20">
        <f>Data!AE254</f>
        <v>0</v>
      </c>
      <c r="AB254" s="20">
        <f>Data!AG254</f>
        <v>0</v>
      </c>
      <c r="AC254" s="20" t="str">
        <f>CONCATENATE(Data!AI254," ",Data!AJ254)</f>
        <v xml:space="preserve"> </v>
      </c>
    </row>
    <row r="255" spans="1:29" ht="15">
      <c r="A255" s="20" t="str">
        <f>Data!A255</f>
        <v>デモ機</v>
      </c>
      <c r="B255" s="20" t="str">
        <f>Data!C255</f>
        <v>Entire Organization</v>
      </c>
      <c r="C255" s="20" t="str">
        <f>IF(Data!E255=0,"",Data!E255)</f>
        <v/>
      </c>
      <c r="D255" s="26">
        <f t="shared" si="3"/>
        <v>42065.880231481482</v>
      </c>
      <c r="E255" s="27">
        <f>Data!F255</f>
        <v>42065.880231481482</v>
      </c>
      <c r="F255" s="20" t="str">
        <f>Data!G255</f>
        <v>DebugRecord</v>
      </c>
      <c r="G255" s="20">
        <f>Data!H255</f>
        <v>0</v>
      </c>
      <c r="H255" s="20">
        <f>Data!I255</f>
        <v>0</v>
      </c>
      <c r="I255" s="20">
        <f>Data!J255</f>
        <v>0</v>
      </c>
      <c r="J255" s="21" t="str">
        <f>IF(Data!K255=0,"",Data!K255)</f>
        <v/>
      </c>
      <c r="K255" s="22">
        <f>Data!L255</f>
        <v>0</v>
      </c>
      <c r="L255" s="21" t="str">
        <f>IF(Data!N255=0,"",Data!N255)</f>
        <v>IntermittentConnectionTestProtocolCanObd</v>
      </c>
      <c r="M255" s="20">
        <f>Data!O255</f>
        <v>0</v>
      </c>
      <c r="N255" s="20">
        <f>Data!P255</f>
        <v>0</v>
      </c>
      <c r="O255" s="20">
        <f>Data!Q255</f>
        <v>0</v>
      </c>
      <c r="P255" s="20">
        <f>Data!R255</f>
        <v>0</v>
      </c>
      <c r="Q255" s="20">
        <f>Data!S255</f>
        <v>0</v>
      </c>
      <c r="R255" s="20">
        <f>Data!T255</f>
        <v>0</v>
      </c>
      <c r="S255" s="20">
        <f>Data!U255</f>
        <v>0</v>
      </c>
      <c r="T255" s="20">
        <f>Data!V255</f>
        <v>0</v>
      </c>
      <c r="U255" s="20">
        <f>Data!W255</f>
        <v>0</v>
      </c>
      <c r="V255" s="20">
        <f>Data!X255</f>
        <v>0</v>
      </c>
      <c r="W255" s="20">
        <f>Data!Y255</f>
        <v>0</v>
      </c>
      <c r="X255" s="20">
        <f>Data!Z255</f>
        <v>0</v>
      </c>
      <c r="Y255" s="22" t="str">
        <f>Data!AL255</f>
        <v>000000000000000000000000000000</v>
      </c>
      <c r="Z255" s="20">
        <f>Data!AC255</f>
        <v>0</v>
      </c>
      <c r="AA255" s="20">
        <f>Data!AE255</f>
        <v>0</v>
      </c>
      <c r="AB255" s="20">
        <f>Data!AG255</f>
        <v>0</v>
      </c>
      <c r="AC255" s="20" t="str">
        <f>CONCATENATE(Data!AI255," ",Data!AJ255)</f>
        <v xml:space="preserve"> </v>
      </c>
    </row>
    <row r="256" spans="1:29" ht="15">
      <c r="A256" s="20" t="str">
        <f>Data!A256</f>
        <v>デモ機</v>
      </c>
      <c r="B256" s="20" t="str">
        <f>Data!C256</f>
        <v>Entire Organization</v>
      </c>
      <c r="C256" s="20" t="str">
        <f>IF(Data!E256=0,"",Data!E256)</f>
        <v/>
      </c>
      <c r="D256" s="26">
        <f t="shared" si="3"/>
        <v>42065.881129594905</v>
      </c>
      <c r="E256" s="27">
        <f>Data!F256</f>
        <v>42065.881129594905</v>
      </c>
      <c r="F256" s="20" t="str">
        <f>Data!G256</f>
        <v>EngineStatusRecord</v>
      </c>
      <c r="G256" s="20">
        <f>Data!H256</f>
        <v>0</v>
      </c>
      <c r="H256" s="20">
        <f>Data!I256</f>
        <v>0</v>
      </c>
      <c r="I256" s="20">
        <f>Data!J256</f>
        <v>0</v>
      </c>
      <c r="J256" s="21" t="str">
        <f>IF(Data!K256=0,"",Data!K256)</f>
        <v/>
      </c>
      <c r="K256" s="22">
        <f>Data!L256</f>
        <v>0</v>
      </c>
      <c r="L256" s="21" t="str">
        <f>IF(Data!N256=0,"",Data!N256)</f>
        <v/>
      </c>
      <c r="M256" s="20">
        <f>Data!O256</f>
        <v>0</v>
      </c>
      <c r="N256" s="20">
        <f>Data!P256</f>
        <v>0</v>
      </c>
      <c r="O256" s="20">
        <f>Data!Q256</f>
        <v>0</v>
      </c>
      <c r="P256" s="20">
        <f>Data!R256</f>
        <v>0</v>
      </c>
      <c r="Q256" s="20">
        <f>Data!S256</f>
        <v>0</v>
      </c>
      <c r="R256" s="20">
        <f>Data!T256</f>
        <v>0</v>
      </c>
      <c r="S256" s="20">
        <f>Data!U256</f>
        <v>0</v>
      </c>
      <c r="T256" s="20">
        <f>Data!V256</f>
        <v>0</v>
      </c>
      <c r="U256" s="20">
        <f>Data!W256</f>
        <v>0</v>
      </c>
      <c r="V256" s="20">
        <f>Data!X256</f>
        <v>0</v>
      </c>
      <c r="W256" s="20">
        <f>Data!Y256</f>
        <v>0</v>
      </c>
      <c r="X256" s="20">
        <f>Data!Z256</f>
        <v>0</v>
      </c>
      <c r="Y256" s="22">
        <f>Data!AL256</f>
        <v>0</v>
      </c>
      <c r="Z256" s="20" t="str">
        <f>Data!AC256</f>
        <v>Telematics device voltage</v>
      </c>
      <c r="AA256" s="20" t="str">
        <f>Data!AE256</f>
        <v/>
      </c>
      <c r="AB256" s="20">
        <f>Data!AG256</f>
        <v>0</v>
      </c>
      <c r="AC256" s="20" t="str">
        <f>CONCATENATE(Data!AI256," ",Data!AJ256)</f>
        <v>12.7506676 V</v>
      </c>
    </row>
    <row r="257" spans="1:29" ht="15">
      <c r="A257" s="20" t="str">
        <f>Data!A257</f>
        <v>デモ機</v>
      </c>
      <c r="B257" s="20" t="str">
        <f>Data!C257</f>
        <v>Entire Organization</v>
      </c>
      <c r="C257" s="20" t="str">
        <f>IF(Data!E257=0,"",Data!E257)</f>
        <v/>
      </c>
      <c r="D257" s="26">
        <f t="shared" si="3"/>
        <v>42065.897222222222</v>
      </c>
      <c r="E257" s="27">
        <f>Data!F257</f>
        <v>42065.897222222222</v>
      </c>
      <c r="F257" s="20" t="str">
        <f>Data!G257</f>
        <v>DebugRecord</v>
      </c>
      <c r="G257" s="20">
        <f>Data!H257</f>
        <v>0</v>
      </c>
      <c r="H257" s="20">
        <f>Data!I257</f>
        <v>0</v>
      </c>
      <c r="I257" s="20">
        <f>Data!J257</f>
        <v>0</v>
      </c>
      <c r="J257" s="21" t="str">
        <f>IF(Data!K257=0,"",Data!K257)</f>
        <v/>
      </c>
      <c r="K257" s="22">
        <f>Data!L257</f>
        <v>0</v>
      </c>
      <c r="L257" s="21" t="str">
        <f>IF(Data!N257=0,"",Data!N257)</f>
        <v>CanBusStatusBetweenTrips</v>
      </c>
      <c r="M257" s="20">
        <f>Data!O257</f>
        <v>0</v>
      </c>
      <c r="N257" s="20">
        <f>Data!P257</f>
        <v>0</v>
      </c>
      <c r="O257" s="20">
        <f>Data!Q257</f>
        <v>0</v>
      </c>
      <c r="P257" s="20">
        <f>Data!R257</f>
        <v>0</v>
      </c>
      <c r="Q257" s="20">
        <f>Data!S257</f>
        <v>0</v>
      </c>
      <c r="R257" s="20">
        <f>Data!T257</f>
        <v>0</v>
      </c>
      <c r="S257" s="20">
        <f>Data!U257</f>
        <v>0</v>
      </c>
      <c r="T257" s="20">
        <f>Data!V257</f>
        <v>0</v>
      </c>
      <c r="U257" s="20">
        <f>Data!W257</f>
        <v>0</v>
      </c>
      <c r="V257" s="20">
        <f>Data!X257</f>
        <v>0</v>
      </c>
      <c r="W257" s="20">
        <f>Data!Y257</f>
        <v>0</v>
      </c>
      <c r="X257" s="20">
        <f>Data!Z257</f>
        <v>0</v>
      </c>
      <c r="Y257" s="22" t="str">
        <f>Data!AL257</f>
        <v>000000000000000000000000000000</v>
      </c>
      <c r="Z257" s="20">
        <f>Data!AC257</f>
        <v>0</v>
      </c>
      <c r="AA257" s="20">
        <f>Data!AE257</f>
        <v>0</v>
      </c>
      <c r="AB257" s="20">
        <f>Data!AG257</f>
        <v>0</v>
      </c>
      <c r="AC257" s="20" t="str">
        <f>CONCATENATE(Data!AI257," ",Data!AJ257)</f>
        <v xml:space="preserve"> </v>
      </c>
    </row>
    <row r="258" spans="1:29" ht="15">
      <c r="A258" s="20" t="str">
        <f>Data!A258</f>
        <v>デモ機</v>
      </c>
      <c r="B258" s="20" t="str">
        <f>Data!C258</f>
        <v>Entire Organization</v>
      </c>
      <c r="C258" s="20" t="str">
        <f>IF(Data!E258=0,"",Data!E258)</f>
        <v/>
      </c>
      <c r="D258" s="26">
        <f t="shared" si="3"/>
        <v>42065.897222222222</v>
      </c>
      <c r="E258" s="27">
        <f>Data!F258</f>
        <v>42065.897222222222</v>
      </c>
      <c r="F258" s="20" t="str">
        <f>Data!G258</f>
        <v>DebugRecord</v>
      </c>
      <c r="G258" s="20">
        <f>Data!H258</f>
        <v>0</v>
      </c>
      <c r="H258" s="20">
        <f>Data!I258</f>
        <v>0</v>
      </c>
      <c r="I258" s="20">
        <f>Data!J258</f>
        <v>0</v>
      </c>
      <c r="J258" s="21" t="str">
        <f>IF(Data!K258=0,"",Data!K258)</f>
        <v/>
      </c>
      <c r="K258" s="22">
        <f>Data!L258</f>
        <v>0</v>
      </c>
      <c r="L258" s="21" t="str">
        <f>IF(Data!N258=0,"",Data!N258)</f>
        <v>SetServerIndex</v>
      </c>
      <c r="M258" s="20">
        <f>Data!O258</f>
        <v>0</v>
      </c>
      <c r="N258" s="20">
        <f>Data!P258</f>
        <v>0</v>
      </c>
      <c r="O258" s="20">
        <f>Data!Q258</f>
        <v>0</v>
      </c>
      <c r="P258" s="20">
        <f>Data!R258</f>
        <v>0</v>
      </c>
      <c r="Q258" s="20">
        <f>Data!S258</f>
        <v>0</v>
      </c>
      <c r="R258" s="20">
        <f>Data!T258</f>
        <v>0</v>
      </c>
      <c r="S258" s="20">
        <f>Data!U258</f>
        <v>0</v>
      </c>
      <c r="T258" s="20">
        <f>Data!V258</f>
        <v>0</v>
      </c>
      <c r="U258" s="20">
        <f>Data!W258</f>
        <v>0</v>
      </c>
      <c r="V258" s="20">
        <f>Data!X258</f>
        <v>0</v>
      </c>
      <c r="W258" s="20">
        <f>Data!Y258</f>
        <v>0</v>
      </c>
      <c r="X258" s="20">
        <f>Data!Z258</f>
        <v>0</v>
      </c>
      <c r="Y258" s="22" t="str">
        <f>Data!AL258</f>
        <v>000000000000000000000000000000</v>
      </c>
      <c r="Z258" s="20">
        <f>Data!AC258</f>
        <v>0</v>
      </c>
      <c r="AA258" s="20">
        <f>Data!AE258</f>
        <v>0</v>
      </c>
      <c r="AB258" s="20">
        <f>Data!AG258</f>
        <v>0</v>
      </c>
      <c r="AC258" s="20" t="str">
        <f>CONCATENATE(Data!AI258," ",Data!AJ258)</f>
        <v xml:space="preserve"> </v>
      </c>
    </row>
    <row r="259" spans="1:29" ht="15">
      <c r="A259" s="20" t="str">
        <f>Data!A259</f>
        <v>デモ機</v>
      </c>
      <c r="B259" s="20" t="str">
        <f>Data!C259</f>
        <v>Entire Organization</v>
      </c>
      <c r="C259" s="20" t="str">
        <f>IF(Data!E259=0,"",Data!E259)</f>
        <v/>
      </c>
      <c r="D259" s="26">
        <f t="shared" si="3"/>
        <v>42065.897446527779</v>
      </c>
      <c r="E259" s="27">
        <f>Data!F259</f>
        <v>42065.897446527779</v>
      </c>
      <c r="F259" s="20" t="str">
        <f>Data!G259</f>
        <v>DebugRecord</v>
      </c>
      <c r="G259" s="20">
        <f>Data!H259</f>
        <v>0</v>
      </c>
      <c r="H259" s="20">
        <f>Data!I259</f>
        <v>0</v>
      </c>
      <c r="I259" s="20">
        <f>Data!J259</f>
        <v>0</v>
      </c>
      <c r="J259" s="21" t="str">
        <f>IF(Data!K259=0,"",Data!K259)</f>
        <v/>
      </c>
      <c r="K259" s="22">
        <f>Data!L259</f>
        <v>0</v>
      </c>
      <c r="L259" s="21" t="str">
        <f>IF(Data!N259=0,"",Data!N259)</f>
        <v>ModemNetworkApn</v>
      </c>
      <c r="M259" s="20">
        <f>Data!O259</f>
        <v>0</v>
      </c>
      <c r="N259" s="20">
        <f>Data!P259</f>
        <v>0</v>
      </c>
      <c r="O259" s="20">
        <f>Data!Q259</f>
        <v>0</v>
      </c>
      <c r="P259" s="20">
        <f>Data!R259</f>
        <v>0</v>
      </c>
      <c r="Q259" s="20">
        <f>Data!S259</f>
        <v>0</v>
      </c>
      <c r="R259" s="20">
        <f>Data!T259</f>
        <v>0</v>
      </c>
      <c r="S259" s="20">
        <f>Data!U259</f>
        <v>0</v>
      </c>
      <c r="T259" s="20">
        <f>Data!V259</f>
        <v>0</v>
      </c>
      <c r="U259" s="20">
        <f>Data!W259</f>
        <v>0</v>
      </c>
      <c r="V259" s="20">
        <f>Data!X259</f>
        <v>0</v>
      </c>
      <c r="W259" s="20">
        <f>Data!Y259</f>
        <v>0</v>
      </c>
      <c r="X259" s="20">
        <f>Data!Z259</f>
        <v>0</v>
      </c>
      <c r="Y259" s="22" t="str">
        <f>Data!AL259</f>
        <v>696E7465726E650000000000000000</v>
      </c>
      <c r="Z259" s="20">
        <f>Data!AC259</f>
        <v>0</v>
      </c>
      <c r="AA259" s="20">
        <f>Data!AE259</f>
        <v>0</v>
      </c>
      <c r="AB259" s="20">
        <f>Data!AG259</f>
        <v>0</v>
      </c>
      <c r="AC259" s="20" t="str">
        <f>CONCATENATE(Data!AI259," ",Data!AJ259)</f>
        <v xml:space="preserve"> </v>
      </c>
    </row>
    <row r="260" spans="1:29" ht="15">
      <c r="A260" s="20" t="str">
        <f>Data!A260</f>
        <v>デモ機</v>
      </c>
      <c r="B260" s="20" t="str">
        <f>Data!C260</f>
        <v>Entire Organization</v>
      </c>
      <c r="C260" s="20" t="str">
        <f>IF(Data!E260=0,"",Data!E260)</f>
        <v/>
      </c>
      <c r="D260" s="26">
        <f t="shared" si="3"/>
        <v>42065.897466006943</v>
      </c>
      <c r="E260" s="27">
        <f>Data!F260</f>
        <v>42065.897466006943</v>
      </c>
      <c r="F260" s="20" t="str">
        <f>Data!G260</f>
        <v>GpsRecord</v>
      </c>
      <c r="G260" s="20">
        <f>Data!H260</f>
        <v>0</v>
      </c>
      <c r="H260" s="20">
        <f>Data!I260</f>
        <v>139.39483999999999</v>
      </c>
      <c r="I260" s="20">
        <f>Data!J260</f>
        <v>35.585920000000002</v>
      </c>
      <c r="J260" s="21" t="str">
        <f>IF(Data!K260=0,"",Data!K260)</f>
        <v>日本, 〒194-0213 東京都町田市常盤町 町田街道</v>
      </c>
      <c r="K260" s="22">
        <f>Data!L260</f>
        <v>0</v>
      </c>
      <c r="L260" s="21" t="str">
        <f>IF(Data!N260=0,"",Data!N260)</f>
        <v>ConnectedToServer</v>
      </c>
      <c r="M260" s="20" t="b">
        <f>Data!O260</f>
        <v>0</v>
      </c>
      <c r="N260" s="20" t="b">
        <f>Data!P260</f>
        <v>0</v>
      </c>
      <c r="O260" s="20" t="b">
        <f>Data!Q260</f>
        <v>0</v>
      </c>
      <c r="P260" s="20" t="b">
        <f>Data!R260</f>
        <v>0</v>
      </c>
      <c r="Q260" s="20" t="b">
        <f>Data!S260</f>
        <v>0</v>
      </c>
      <c r="R260" s="20" t="b">
        <f>Data!T260</f>
        <v>0</v>
      </c>
      <c r="S260" s="20" t="b">
        <f>Data!U260</f>
        <v>0</v>
      </c>
      <c r="T260" s="20" t="b">
        <f>Data!V260</f>
        <v>0</v>
      </c>
      <c r="U260" s="20" t="b">
        <f>Data!W260</f>
        <v>0</v>
      </c>
      <c r="V260" s="20" t="b">
        <f>Data!X260</f>
        <v>1</v>
      </c>
      <c r="W260" s="20" t="b">
        <f>Data!Y260</f>
        <v>0</v>
      </c>
      <c r="X260" s="20">
        <f>Data!Z260</f>
        <v>0</v>
      </c>
      <c r="Y260" s="22">
        <f>Data!AL260</f>
        <v>0</v>
      </c>
      <c r="Z260" s="20">
        <f>Data!AC260</f>
        <v>0</v>
      </c>
      <c r="AA260" s="20">
        <f>Data!AE260</f>
        <v>0</v>
      </c>
      <c r="AB260" s="20">
        <f>Data!AG260</f>
        <v>0</v>
      </c>
      <c r="AC260" s="20" t="str">
        <f>CONCATENATE(Data!AI260," ",Data!AJ260)</f>
        <v xml:space="preserve"> </v>
      </c>
    </row>
    <row r="261" spans="1:29" ht="15">
      <c r="A261" s="20" t="str">
        <f>Data!A261</f>
        <v>デモ機</v>
      </c>
      <c r="B261" s="20" t="str">
        <f>Data!C261</f>
        <v>Entire Organization</v>
      </c>
      <c r="C261" s="20" t="str">
        <f>IF(Data!E261=0,"",Data!E261)</f>
        <v/>
      </c>
      <c r="D261" s="26">
        <f t="shared" si="3"/>
        <v>42065.897466863426</v>
      </c>
      <c r="E261" s="27">
        <f>Data!F261</f>
        <v>42065.897466863426</v>
      </c>
      <c r="F261" s="20" t="str">
        <f>Data!G261</f>
        <v>DebugRecord</v>
      </c>
      <c r="G261" s="20">
        <f>Data!H261</f>
        <v>0</v>
      </c>
      <c r="H261" s="20">
        <f>Data!I261</f>
        <v>0</v>
      </c>
      <c r="I261" s="20">
        <f>Data!J261</f>
        <v>0</v>
      </c>
      <c r="J261" s="21" t="str">
        <f>IF(Data!K261=0,"",Data!K261)</f>
        <v/>
      </c>
      <c r="K261" s="22">
        <f>Data!L261</f>
        <v>0</v>
      </c>
      <c r="L261" s="21" t="str">
        <f>IF(Data!N261=0,"",Data!N261)</f>
        <v>ModemConnectionSuccess</v>
      </c>
      <c r="M261" s="20">
        <f>Data!O261</f>
        <v>0</v>
      </c>
      <c r="N261" s="20">
        <f>Data!P261</f>
        <v>0</v>
      </c>
      <c r="O261" s="20">
        <f>Data!Q261</f>
        <v>0</v>
      </c>
      <c r="P261" s="20">
        <f>Data!R261</f>
        <v>0</v>
      </c>
      <c r="Q261" s="20">
        <f>Data!S261</f>
        <v>0</v>
      </c>
      <c r="R261" s="20">
        <f>Data!T261</f>
        <v>0</v>
      </c>
      <c r="S261" s="20">
        <f>Data!U261</f>
        <v>0</v>
      </c>
      <c r="T261" s="20">
        <f>Data!V261</f>
        <v>0</v>
      </c>
      <c r="U261" s="20">
        <f>Data!W261</f>
        <v>0</v>
      </c>
      <c r="V261" s="20">
        <f>Data!X261</f>
        <v>0</v>
      </c>
      <c r="W261" s="20">
        <f>Data!Y261</f>
        <v>0</v>
      </c>
      <c r="X261" s="20">
        <f>Data!Z261</f>
        <v>0</v>
      </c>
      <c r="Y261" s="22" t="str">
        <f>Data!AL261</f>
        <v>4E545420444F800000000000000000</v>
      </c>
      <c r="Z261" s="20">
        <f>Data!AC261</f>
        <v>0</v>
      </c>
      <c r="AA261" s="20">
        <f>Data!AE261</f>
        <v>0</v>
      </c>
      <c r="AB261" s="20">
        <f>Data!AG261</f>
        <v>0</v>
      </c>
      <c r="AC261" s="20" t="str">
        <f>CONCATENATE(Data!AI261," ",Data!AJ261)</f>
        <v xml:space="preserve"> </v>
      </c>
    </row>
    <row r="262" spans="1:29" ht="15">
      <c r="A262" s="20" t="str">
        <f>Data!A262</f>
        <v>デモ機</v>
      </c>
      <c r="B262" s="20" t="str">
        <f>Data!C262</f>
        <v>Entire Organization</v>
      </c>
      <c r="C262" s="20" t="str">
        <f>IF(Data!E262=0,"",Data!E262)</f>
        <v/>
      </c>
      <c r="D262" s="26">
        <f t="shared" si="3"/>
        <v>42065.900574039355</v>
      </c>
      <c r="E262" s="27">
        <f>Data!F262</f>
        <v>42065.900574039355</v>
      </c>
      <c r="F262" s="20" t="str">
        <f>Data!G262</f>
        <v>EngineStatusRecord</v>
      </c>
      <c r="G262" s="20">
        <f>Data!H262</f>
        <v>0</v>
      </c>
      <c r="H262" s="20">
        <f>Data!I262</f>
        <v>0</v>
      </c>
      <c r="I262" s="20">
        <f>Data!J262</f>
        <v>0</v>
      </c>
      <c r="J262" s="21" t="str">
        <f>IF(Data!K262=0,"",Data!K262)</f>
        <v/>
      </c>
      <c r="K262" s="22">
        <f>Data!L262</f>
        <v>0</v>
      </c>
      <c r="L262" s="21" t="str">
        <f>IF(Data!N262=0,"",Data!N262)</f>
        <v/>
      </c>
      <c r="M262" s="20">
        <f>Data!O262</f>
        <v>0</v>
      </c>
      <c r="N262" s="20">
        <f>Data!P262</f>
        <v>0</v>
      </c>
      <c r="O262" s="20">
        <f>Data!Q262</f>
        <v>0</v>
      </c>
      <c r="P262" s="20">
        <f>Data!R262</f>
        <v>0</v>
      </c>
      <c r="Q262" s="20">
        <f>Data!S262</f>
        <v>0</v>
      </c>
      <c r="R262" s="20">
        <f>Data!T262</f>
        <v>0</v>
      </c>
      <c r="S262" s="20">
        <f>Data!U262</f>
        <v>0</v>
      </c>
      <c r="T262" s="20">
        <f>Data!V262</f>
        <v>0</v>
      </c>
      <c r="U262" s="20">
        <f>Data!W262</f>
        <v>0</v>
      </c>
      <c r="V262" s="20">
        <f>Data!X262</f>
        <v>0</v>
      </c>
      <c r="W262" s="20">
        <f>Data!Y262</f>
        <v>0</v>
      </c>
      <c r="X262" s="20">
        <f>Data!Z262</f>
        <v>0</v>
      </c>
      <c r="Y262" s="22">
        <f>Data!AL262</f>
        <v>0</v>
      </c>
      <c r="Z262" s="20" t="str">
        <f>Data!AC262</f>
        <v>Telematics device voltage</v>
      </c>
      <c r="AA262" s="20" t="str">
        <f>Data!AE262</f>
        <v/>
      </c>
      <c r="AB262" s="20">
        <f>Data!AG262</f>
        <v>0</v>
      </c>
      <c r="AC262" s="20" t="str">
        <f>CONCATENATE(Data!AI262," ",Data!AJ262)</f>
        <v>12.4644442 V</v>
      </c>
    </row>
    <row r="263" spans="1:29" ht="15">
      <c r="A263" s="20" t="str">
        <f>Data!A263</f>
        <v>デモ機</v>
      </c>
      <c r="B263" s="20" t="str">
        <f>Data!C263</f>
        <v>Entire Organization</v>
      </c>
      <c r="C263" s="20" t="str">
        <f>IF(Data!E263=0,"",Data!E263)</f>
        <v/>
      </c>
      <c r="D263" s="26">
        <f t="shared" si="3"/>
        <v>42065.900606446761</v>
      </c>
      <c r="E263" s="27">
        <f>Data!F263</f>
        <v>42065.900606446761</v>
      </c>
      <c r="F263" s="20" t="str">
        <f>Data!G263</f>
        <v>DebugRecord</v>
      </c>
      <c r="G263" s="20">
        <f>Data!H263</f>
        <v>0</v>
      </c>
      <c r="H263" s="20">
        <f>Data!I263</f>
        <v>0</v>
      </c>
      <c r="I263" s="20">
        <f>Data!J263</f>
        <v>0</v>
      </c>
      <c r="J263" s="21" t="str">
        <f>IF(Data!K263=0,"",Data!K263)</f>
        <v/>
      </c>
      <c r="K263" s="22">
        <f>Data!L263</f>
        <v>0</v>
      </c>
      <c r="L263" s="21" t="str">
        <f>IF(Data!N263=0,"",Data!N263)</f>
        <v>CanBusStatusBetweenTrips</v>
      </c>
      <c r="M263" s="20">
        <f>Data!O263</f>
        <v>0</v>
      </c>
      <c r="N263" s="20">
        <f>Data!P263</f>
        <v>0</v>
      </c>
      <c r="O263" s="20">
        <f>Data!Q263</f>
        <v>0</v>
      </c>
      <c r="P263" s="20">
        <f>Data!R263</f>
        <v>0</v>
      </c>
      <c r="Q263" s="20">
        <f>Data!S263</f>
        <v>0</v>
      </c>
      <c r="R263" s="20">
        <f>Data!T263</f>
        <v>0</v>
      </c>
      <c r="S263" s="20">
        <f>Data!U263</f>
        <v>0</v>
      </c>
      <c r="T263" s="20">
        <f>Data!V263</f>
        <v>0</v>
      </c>
      <c r="U263" s="20">
        <f>Data!W263</f>
        <v>0</v>
      </c>
      <c r="V263" s="20">
        <f>Data!X263</f>
        <v>0</v>
      </c>
      <c r="W263" s="20">
        <f>Data!Y263</f>
        <v>0</v>
      </c>
      <c r="X263" s="20">
        <f>Data!Z263</f>
        <v>0</v>
      </c>
      <c r="Y263" s="22" t="str">
        <f>Data!AL263</f>
        <v>000000000000000000000000000000</v>
      </c>
      <c r="Z263" s="20">
        <f>Data!AC263</f>
        <v>0</v>
      </c>
      <c r="AA263" s="20">
        <f>Data!AE263</f>
        <v>0</v>
      </c>
      <c r="AB263" s="20">
        <f>Data!AG263</f>
        <v>0</v>
      </c>
      <c r="AC263" s="20" t="str">
        <f>CONCATENATE(Data!AI263," ",Data!AJ263)</f>
        <v xml:space="preserve"> </v>
      </c>
    </row>
    <row r="264" spans="1:29" ht="15">
      <c r="A264" s="20" t="str">
        <f>Data!A264</f>
        <v>デモ機</v>
      </c>
      <c r="B264" s="20" t="str">
        <f>Data!C264</f>
        <v>Entire Organization</v>
      </c>
      <c r="C264" s="20" t="str">
        <f>IF(Data!E264=0,"",Data!E264)</f>
        <v/>
      </c>
      <c r="D264" s="26">
        <f t="shared" si="3"/>
        <v>42065.901049768516</v>
      </c>
      <c r="E264" s="27">
        <f>Data!F264</f>
        <v>42065.901049768516</v>
      </c>
      <c r="F264" s="20" t="str">
        <f>Data!G264</f>
        <v>EngineStatusRecord</v>
      </c>
      <c r="G264" s="20">
        <f>Data!H264</f>
        <v>0</v>
      </c>
      <c r="H264" s="20">
        <f>Data!I264</f>
        <v>0</v>
      </c>
      <c r="I264" s="20">
        <f>Data!J264</f>
        <v>0</v>
      </c>
      <c r="J264" s="21" t="str">
        <f>IF(Data!K264=0,"",Data!K264)</f>
        <v/>
      </c>
      <c r="K264" s="22">
        <f>Data!L264</f>
        <v>0</v>
      </c>
      <c r="L264" s="21" t="str">
        <f>IF(Data!N264=0,"",Data!N264)</f>
        <v/>
      </c>
      <c r="M264" s="20">
        <f>Data!O264</f>
        <v>0</v>
      </c>
      <c r="N264" s="20">
        <f>Data!P264</f>
        <v>0</v>
      </c>
      <c r="O264" s="20">
        <f>Data!Q264</f>
        <v>0</v>
      </c>
      <c r="P264" s="20">
        <f>Data!R264</f>
        <v>0</v>
      </c>
      <c r="Q264" s="20">
        <f>Data!S264</f>
        <v>0</v>
      </c>
      <c r="R264" s="20">
        <f>Data!T264</f>
        <v>0</v>
      </c>
      <c r="S264" s="20">
        <f>Data!U264</f>
        <v>0</v>
      </c>
      <c r="T264" s="20">
        <f>Data!V264</f>
        <v>0</v>
      </c>
      <c r="U264" s="20">
        <f>Data!W264</f>
        <v>0</v>
      </c>
      <c r="V264" s="20">
        <f>Data!X264</f>
        <v>0</v>
      </c>
      <c r="W264" s="20">
        <f>Data!Y264</f>
        <v>0</v>
      </c>
      <c r="X264" s="20">
        <f>Data!Z264</f>
        <v>0</v>
      </c>
      <c r="Y264" s="22">
        <f>Data!AL264</f>
        <v>0</v>
      </c>
      <c r="Z264" s="20" t="str">
        <f>Data!AC264</f>
        <v>Telematics device voltage</v>
      </c>
      <c r="AA264" s="20" t="str">
        <f>Data!AE264</f>
        <v/>
      </c>
      <c r="AB264" s="20">
        <f>Data!AG264</f>
        <v>0</v>
      </c>
      <c r="AC264" s="20" t="str">
        <f>CONCATENATE(Data!AI264," ",Data!AJ264)</f>
        <v>12.7506676 V</v>
      </c>
    </row>
    <row r="265" spans="1:29" ht="15">
      <c r="A265" s="20" t="str">
        <f>Data!A265</f>
        <v>デモ機</v>
      </c>
      <c r="B265" s="20" t="str">
        <f>Data!C265</f>
        <v>Entire Organization</v>
      </c>
      <c r="C265" s="20" t="str">
        <f>IF(Data!E265=0,"",Data!E265)</f>
        <v/>
      </c>
      <c r="D265" s="26">
        <f t="shared" ref="D265:D328" si="4">E265</f>
        <v>42065.901551076386</v>
      </c>
      <c r="E265" s="27">
        <f>Data!F265</f>
        <v>42065.901551076386</v>
      </c>
      <c r="F265" s="20" t="str">
        <f>Data!G265</f>
        <v>EngineStatusRecord</v>
      </c>
      <c r="G265" s="20">
        <f>Data!H265</f>
        <v>0</v>
      </c>
      <c r="H265" s="20">
        <f>Data!I265</f>
        <v>0</v>
      </c>
      <c r="I265" s="20">
        <f>Data!J265</f>
        <v>0</v>
      </c>
      <c r="J265" s="21" t="str">
        <f>IF(Data!K265=0,"",Data!K265)</f>
        <v/>
      </c>
      <c r="K265" s="22">
        <f>Data!L265</f>
        <v>0</v>
      </c>
      <c r="L265" s="21" t="str">
        <f>IF(Data!N265=0,"",Data!N265)</f>
        <v/>
      </c>
      <c r="M265" s="20">
        <f>Data!O265</f>
        <v>0</v>
      </c>
      <c r="N265" s="20">
        <f>Data!P265</f>
        <v>0</v>
      </c>
      <c r="O265" s="20">
        <f>Data!Q265</f>
        <v>0</v>
      </c>
      <c r="P265" s="20">
        <f>Data!R265</f>
        <v>0</v>
      </c>
      <c r="Q265" s="20">
        <f>Data!S265</f>
        <v>0</v>
      </c>
      <c r="R265" s="20">
        <f>Data!T265</f>
        <v>0</v>
      </c>
      <c r="S265" s="20">
        <f>Data!U265</f>
        <v>0</v>
      </c>
      <c r="T265" s="20">
        <f>Data!V265</f>
        <v>0</v>
      </c>
      <c r="U265" s="20">
        <f>Data!W265</f>
        <v>0</v>
      </c>
      <c r="V265" s="20">
        <f>Data!X265</f>
        <v>0</v>
      </c>
      <c r="W265" s="20">
        <f>Data!Y265</f>
        <v>0</v>
      </c>
      <c r="X265" s="20">
        <f>Data!Z265</f>
        <v>0</v>
      </c>
      <c r="Y265" s="22">
        <f>Data!AL265</f>
        <v>0</v>
      </c>
      <c r="Z265" s="20" t="str">
        <f>Data!AC265</f>
        <v>Cranking voltage</v>
      </c>
      <c r="AA265" s="20" t="str">
        <f>Data!AE265</f>
        <v/>
      </c>
      <c r="AB265" s="20">
        <f>Data!AG265</f>
        <v>0</v>
      </c>
      <c r="AC265" s="20" t="str">
        <f>CONCATENATE(Data!AI265," ",Data!AJ265)</f>
        <v>12.53676 V</v>
      </c>
    </row>
    <row r="266" spans="1:29" ht="15">
      <c r="A266" s="20" t="str">
        <f>Data!A266</f>
        <v>デモ機</v>
      </c>
      <c r="B266" s="20" t="str">
        <f>Data!C266</f>
        <v>Entire Organization</v>
      </c>
      <c r="C266" s="20" t="str">
        <f>IF(Data!E266=0,"",Data!E266)</f>
        <v/>
      </c>
      <c r="D266" s="26">
        <f t="shared" si="4"/>
        <v>42065.901585648149</v>
      </c>
      <c r="E266" s="27">
        <f>Data!F266</f>
        <v>42065.901585648149</v>
      </c>
      <c r="F266" s="20" t="str">
        <f>Data!G266</f>
        <v>DebugRecord</v>
      </c>
      <c r="G266" s="20">
        <f>Data!H266</f>
        <v>0</v>
      </c>
      <c r="H266" s="20">
        <f>Data!I266</f>
        <v>0</v>
      </c>
      <c r="I266" s="20">
        <f>Data!J266</f>
        <v>0</v>
      </c>
      <c r="J266" s="21" t="str">
        <f>IF(Data!K266=0,"",Data!K266)</f>
        <v/>
      </c>
      <c r="K266" s="22">
        <f>Data!L266</f>
        <v>0</v>
      </c>
      <c r="L266" s="21" t="str">
        <f>IF(Data!N266=0,"",Data!N266)</f>
        <v>IntermittentConnectionTestProtocolCanObd</v>
      </c>
      <c r="M266" s="20">
        <f>Data!O266</f>
        <v>0</v>
      </c>
      <c r="N266" s="20">
        <f>Data!P266</f>
        <v>0</v>
      </c>
      <c r="O266" s="20">
        <f>Data!Q266</f>
        <v>0</v>
      </c>
      <c r="P266" s="20">
        <f>Data!R266</f>
        <v>0</v>
      </c>
      <c r="Q266" s="20">
        <f>Data!S266</f>
        <v>0</v>
      </c>
      <c r="R266" s="20">
        <f>Data!T266</f>
        <v>0</v>
      </c>
      <c r="S266" s="20">
        <f>Data!U266</f>
        <v>0</v>
      </c>
      <c r="T266" s="20">
        <f>Data!V266</f>
        <v>0</v>
      </c>
      <c r="U266" s="20">
        <f>Data!W266</f>
        <v>0</v>
      </c>
      <c r="V266" s="20">
        <f>Data!X266</f>
        <v>0</v>
      </c>
      <c r="W266" s="20">
        <f>Data!Y266</f>
        <v>0</v>
      </c>
      <c r="X266" s="20">
        <f>Data!Z266</f>
        <v>0</v>
      </c>
      <c r="Y266" s="22" t="str">
        <f>Data!AL266</f>
        <v>000000000000000000000000000000</v>
      </c>
      <c r="Z266" s="20">
        <f>Data!AC266</f>
        <v>0</v>
      </c>
      <c r="AA266" s="20">
        <f>Data!AE266</f>
        <v>0</v>
      </c>
      <c r="AB266" s="20">
        <f>Data!AG266</f>
        <v>0</v>
      </c>
      <c r="AC266" s="20" t="str">
        <f>CONCATENATE(Data!AI266," ",Data!AJ266)</f>
        <v xml:space="preserve"> </v>
      </c>
    </row>
    <row r="267" spans="1:29" ht="15">
      <c r="A267" s="20" t="str">
        <f>Data!A267</f>
        <v>デモ機</v>
      </c>
      <c r="B267" s="20" t="str">
        <f>Data!C267</f>
        <v>Entire Organization</v>
      </c>
      <c r="C267" s="20" t="str">
        <f>IF(Data!E267=0,"",Data!E267)</f>
        <v/>
      </c>
      <c r="D267" s="26">
        <f t="shared" si="4"/>
        <v>42065.901587962966</v>
      </c>
      <c r="E267" s="27">
        <f>Data!F267</f>
        <v>42065.901587962966</v>
      </c>
      <c r="F267" s="20" t="str">
        <f>Data!G267</f>
        <v>EngineStatusRecord</v>
      </c>
      <c r="G267" s="20">
        <f>Data!H267</f>
        <v>0</v>
      </c>
      <c r="H267" s="20">
        <f>Data!I267</f>
        <v>0</v>
      </c>
      <c r="I267" s="20">
        <f>Data!J267</f>
        <v>0</v>
      </c>
      <c r="J267" s="21" t="str">
        <f>IF(Data!K267=0,"",Data!K267)</f>
        <v/>
      </c>
      <c r="K267" s="22">
        <f>Data!L267</f>
        <v>0</v>
      </c>
      <c r="L267" s="21" t="str">
        <f>IF(Data!N267=0,"",Data!N267)</f>
        <v/>
      </c>
      <c r="M267" s="20">
        <f>Data!O267</f>
        <v>0</v>
      </c>
      <c r="N267" s="20">
        <f>Data!P267</f>
        <v>0</v>
      </c>
      <c r="O267" s="20">
        <f>Data!Q267</f>
        <v>0</v>
      </c>
      <c r="P267" s="20">
        <f>Data!R267</f>
        <v>0</v>
      </c>
      <c r="Q267" s="20">
        <f>Data!S267</f>
        <v>0</v>
      </c>
      <c r="R267" s="20">
        <f>Data!T267</f>
        <v>0</v>
      </c>
      <c r="S267" s="20">
        <f>Data!U267</f>
        <v>0</v>
      </c>
      <c r="T267" s="20">
        <f>Data!V267</f>
        <v>0</v>
      </c>
      <c r="U267" s="20">
        <f>Data!W267</f>
        <v>0</v>
      </c>
      <c r="V267" s="20">
        <f>Data!X267</f>
        <v>0</v>
      </c>
      <c r="W267" s="20">
        <f>Data!Y267</f>
        <v>0</v>
      </c>
      <c r="X267" s="20">
        <f>Data!Z267</f>
        <v>0</v>
      </c>
      <c r="Y267" s="22">
        <f>Data!AL267</f>
        <v>0</v>
      </c>
      <c r="Z267" s="20" t="str">
        <f>Data!AC267</f>
        <v>Cranking voltage</v>
      </c>
      <c r="AA267" s="20" t="str">
        <f>Data!AE267</f>
        <v/>
      </c>
      <c r="AB267" s="20">
        <f>Data!AG267</f>
        <v>0</v>
      </c>
      <c r="AC267" s="20" t="str">
        <f>CONCATENATE(Data!AI267," ",Data!AJ267)</f>
        <v>12.53676 V</v>
      </c>
    </row>
    <row r="268" spans="1:29" ht="15">
      <c r="A268" s="20" t="str">
        <f>Data!A268</f>
        <v>デモ機</v>
      </c>
      <c r="B268" s="20" t="str">
        <f>Data!C268</f>
        <v>Entire Organization</v>
      </c>
      <c r="C268" s="20" t="str">
        <f>IF(Data!E268=0,"",Data!E268)</f>
        <v/>
      </c>
      <c r="D268" s="26">
        <f t="shared" si="4"/>
        <v>42065.901591435184</v>
      </c>
      <c r="E268" s="27">
        <f>Data!F268</f>
        <v>42065.901591435184</v>
      </c>
      <c r="F268" s="20" t="str">
        <f>Data!G268</f>
        <v>EngineStatusRecord</v>
      </c>
      <c r="G268" s="20">
        <f>Data!H268</f>
        <v>0</v>
      </c>
      <c r="H268" s="20">
        <f>Data!I268</f>
        <v>0</v>
      </c>
      <c r="I268" s="20">
        <f>Data!J268</f>
        <v>0</v>
      </c>
      <c r="J268" s="21" t="str">
        <f>IF(Data!K268=0,"",Data!K268)</f>
        <v/>
      </c>
      <c r="K268" s="22">
        <f>Data!L268</f>
        <v>0</v>
      </c>
      <c r="L268" s="21" t="str">
        <f>IF(Data!N268=0,"",Data!N268)</f>
        <v/>
      </c>
      <c r="M268" s="20">
        <f>Data!O268</f>
        <v>0</v>
      </c>
      <c r="N268" s="20">
        <f>Data!P268</f>
        <v>0</v>
      </c>
      <c r="O268" s="20">
        <f>Data!Q268</f>
        <v>0</v>
      </c>
      <c r="P268" s="20">
        <f>Data!R268</f>
        <v>0</v>
      </c>
      <c r="Q268" s="20">
        <f>Data!S268</f>
        <v>0</v>
      </c>
      <c r="R268" s="20">
        <f>Data!T268</f>
        <v>0</v>
      </c>
      <c r="S268" s="20">
        <f>Data!U268</f>
        <v>0</v>
      </c>
      <c r="T268" s="20">
        <f>Data!V268</f>
        <v>0</v>
      </c>
      <c r="U268" s="20">
        <f>Data!W268</f>
        <v>0</v>
      </c>
      <c r="V268" s="20">
        <f>Data!X268</f>
        <v>0</v>
      </c>
      <c r="W268" s="20">
        <f>Data!Y268</f>
        <v>0</v>
      </c>
      <c r="X268" s="20">
        <f>Data!Z268</f>
        <v>0</v>
      </c>
      <c r="Y268" s="22">
        <f>Data!AL268</f>
        <v>0</v>
      </c>
      <c r="Z268" s="20" t="str">
        <f>Data!AC268</f>
        <v>Cranking voltage</v>
      </c>
      <c r="AA268" s="20" t="str">
        <f>Data!AE268</f>
        <v/>
      </c>
      <c r="AB268" s="20">
        <f>Data!AG268</f>
        <v>0</v>
      </c>
      <c r="AC268" s="20" t="str">
        <f>CONCATENATE(Data!AI268," ",Data!AJ268)</f>
        <v>12.1074 V</v>
      </c>
    </row>
    <row r="269" spans="1:29" ht="15">
      <c r="A269" s="20" t="str">
        <f>Data!A269</f>
        <v>デモ機</v>
      </c>
      <c r="B269" s="20" t="str">
        <f>Data!C269</f>
        <v>Entire Organization</v>
      </c>
      <c r="C269" s="20" t="str">
        <f>IF(Data!E269=0,"",Data!E269)</f>
        <v/>
      </c>
      <c r="D269" s="26">
        <f t="shared" si="4"/>
        <v>42065.901592557871</v>
      </c>
      <c r="E269" s="27">
        <f>Data!F269</f>
        <v>42065.901592557871</v>
      </c>
      <c r="F269" s="20" t="str">
        <f>Data!G269</f>
        <v>EngineStatusRecord</v>
      </c>
      <c r="G269" s="20">
        <f>Data!H269</f>
        <v>0</v>
      </c>
      <c r="H269" s="20">
        <f>Data!I269</f>
        <v>0</v>
      </c>
      <c r="I269" s="20">
        <f>Data!J269</f>
        <v>0</v>
      </c>
      <c r="J269" s="21" t="str">
        <f>IF(Data!K269=0,"",Data!K269)</f>
        <v/>
      </c>
      <c r="K269" s="22">
        <f>Data!L269</f>
        <v>0</v>
      </c>
      <c r="L269" s="21" t="str">
        <f>IF(Data!N269=0,"",Data!N269)</f>
        <v/>
      </c>
      <c r="M269" s="20">
        <f>Data!O269</f>
        <v>0</v>
      </c>
      <c r="N269" s="20">
        <f>Data!P269</f>
        <v>0</v>
      </c>
      <c r="O269" s="20">
        <f>Data!Q269</f>
        <v>0</v>
      </c>
      <c r="P269" s="20">
        <f>Data!R269</f>
        <v>0</v>
      </c>
      <c r="Q269" s="20">
        <f>Data!S269</f>
        <v>0</v>
      </c>
      <c r="R269" s="20">
        <f>Data!T269</f>
        <v>0</v>
      </c>
      <c r="S269" s="20">
        <f>Data!U269</f>
        <v>0</v>
      </c>
      <c r="T269" s="20">
        <f>Data!V269</f>
        <v>0</v>
      </c>
      <c r="U269" s="20">
        <f>Data!W269</f>
        <v>0</v>
      </c>
      <c r="V269" s="20">
        <f>Data!X269</f>
        <v>0</v>
      </c>
      <c r="W269" s="20">
        <f>Data!Y269</f>
        <v>0</v>
      </c>
      <c r="X269" s="20">
        <f>Data!Z269</f>
        <v>0</v>
      </c>
      <c r="Y269" s="22">
        <f>Data!AL269</f>
        <v>0</v>
      </c>
      <c r="Z269" s="20" t="str">
        <f>Data!AC269</f>
        <v>Cranking voltage</v>
      </c>
      <c r="AA269" s="20" t="str">
        <f>Data!AE269</f>
        <v/>
      </c>
      <c r="AB269" s="20">
        <f>Data!AG269</f>
        <v>0</v>
      </c>
      <c r="AC269" s="20" t="str">
        <f>CONCATENATE(Data!AI269," ",Data!AJ269)</f>
        <v>7.31288 V</v>
      </c>
    </row>
    <row r="270" spans="1:29" ht="15">
      <c r="A270" s="20" t="str">
        <f>Data!A270</f>
        <v>デモ機</v>
      </c>
      <c r="B270" s="20" t="str">
        <f>Data!C270</f>
        <v>Entire Organization</v>
      </c>
      <c r="C270" s="20" t="str">
        <f>IF(Data!E270=0,"",Data!E270)</f>
        <v/>
      </c>
      <c r="D270" s="26">
        <f t="shared" si="4"/>
        <v>42065.901593750001</v>
      </c>
      <c r="E270" s="27">
        <f>Data!F270</f>
        <v>42065.901593750001</v>
      </c>
      <c r="F270" s="20" t="str">
        <f>Data!G270</f>
        <v>EngineStatusRecord</v>
      </c>
      <c r="G270" s="20">
        <f>Data!H270</f>
        <v>0</v>
      </c>
      <c r="H270" s="20">
        <f>Data!I270</f>
        <v>0</v>
      </c>
      <c r="I270" s="20">
        <f>Data!J270</f>
        <v>0</v>
      </c>
      <c r="J270" s="21" t="str">
        <f>IF(Data!K270=0,"",Data!K270)</f>
        <v/>
      </c>
      <c r="K270" s="22">
        <f>Data!L270</f>
        <v>0</v>
      </c>
      <c r="L270" s="21" t="str">
        <f>IF(Data!N270=0,"",Data!N270)</f>
        <v/>
      </c>
      <c r="M270" s="20">
        <f>Data!O270</f>
        <v>0</v>
      </c>
      <c r="N270" s="20">
        <f>Data!P270</f>
        <v>0</v>
      </c>
      <c r="O270" s="20">
        <f>Data!Q270</f>
        <v>0</v>
      </c>
      <c r="P270" s="20">
        <f>Data!R270</f>
        <v>0</v>
      </c>
      <c r="Q270" s="20">
        <f>Data!S270</f>
        <v>0</v>
      </c>
      <c r="R270" s="20">
        <f>Data!T270</f>
        <v>0</v>
      </c>
      <c r="S270" s="20">
        <f>Data!U270</f>
        <v>0</v>
      </c>
      <c r="T270" s="20">
        <f>Data!V270</f>
        <v>0</v>
      </c>
      <c r="U270" s="20">
        <f>Data!W270</f>
        <v>0</v>
      </c>
      <c r="V270" s="20">
        <f>Data!X270</f>
        <v>0</v>
      </c>
      <c r="W270" s="20">
        <f>Data!Y270</f>
        <v>0</v>
      </c>
      <c r="X270" s="20">
        <f>Data!Z270</f>
        <v>0</v>
      </c>
      <c r="Y270" s="22">
        <f>Data!AL270</f>
        <v>0</v>
      </c>
      <c r="Z270" s="20" t="str">
        <f>Data!AC270</f>
        <v>Cranking voltage</v>
      </c>
      <c r="AA270" s="20" t="str">
        <f>Data!AE270</f>
        <v/>
      </c>
      <c r="AB270" s="20">
        <f>Data!AG270</f>
        <v>0</v>
      </c>
      <c r="AC270" s="20" t="str">
        <f>CONCATENATE(Data!AI270," ",Data!AJ270)</f>
        <v>9.13766 V</v>
      </c>
    </row>
    <row r="271" spans="1:29" ht="15">
      <c r="A271" s="20" t="str">
        <f>Data!A271</f>
        <v>デモ機</v>
      </c>
      <c r="B271" s="20" t="str">
        <f>Data!C271</f>
        <v>Entire Organization</v>
      </c>
      <c r="C271" s="20" t="str">
        <f>IF(Data!E271=0,"",Data!E271)</f>
        <v/>
      </c>
      <c r="D271" s="26">
        <f t="shared" si="4"/>
        <v>42065.901597222219</v>
      </c>
      <c r="E271" s="27">
        <f>Data!F271</f>
        <v>42065.901597222219</v>
      </c>
      <c r="F271" s="20" t="str">
        <f>Data!G271</f>
        <v>DebugRecord</v>
      </c>
      <c r="G271" s="20">
        <f>Data!H271</f>
        <v>0</v>
      </c>
      <c r="H271" s="20">
        <f>Data!I271</f>
        <v>0</v>
      </c>
      <c r="I271" s="20">
        <f>Data!J271</f>
        <v>0</v>
      </c>
      <c r="J271" s="21" t="str">
        <f>IF(Data!K271=0,"",Data!K271)</f>
        <v/>
      </c>
      <c r="K271" s="22">
        <f>Data!L271</f>
        <v>0</v>
      </c>
      <c r="L271" s="21" t="str">
        <f>IF(Data!N271=0,"",Data!N271)</f>
        <v>IntermittentConnectionTestProtocolCanObd</v>
      </c>
      <c r="M271" s="20">
        <f>Data!O271</f>
        <v>0</v>
      </c>
      <c r="N271" s="20">
        <f>Data!P271</f>
        <v>0</v>
      </c>
      <c r="O271" s="20">
        <f>Data!Q271</f>
        <v>0</v>
      </c>
      <c r="P271" s="20">
        <f>Data!R271</f>
        <v>0</v>
      </c>
      <c r="Q271" s="20">
        <f>Data!S271</f>
        <v>0</v>
      </c>
      <c r="R271" s="20">
        <f>Data!T271</f>
        <v>0</v>
      </c>
      <c r="S271" s="20">
        <f>Data!U271</f>
        <v>0</v>
      </c>
      <c r="T271" s="20">
        <f>Data!V271</f>
        <v>0</v>
      </c>
      <c r="U271" s="20">
        <f>Data!W271</f>
        <v>0</v>
      </c>
      <c r="V271" s="20">
        <f>Data!X271</f>
        <v>0</v>
      </c>
      <c r="W271" s="20">
        <f>Data!Y271</f>
        <v>0</v>
      </c>
      <c r="X271" s="20">
        <f>Data!Z271</f>
        <v>0</v>
      </c>
      <c r="Y271" s="22" t="str">
        <f>Data!AL271</f>
        <v>440000000000000000000000000000</v>
      </c>
      <c r="Z271" s="20">
        <f>Data!AC271</f>
        <v>0</v>
      </c>
      <c r="AA271" s="20">
        <f>Data!AE271</f>
        <v>0</v>
      </c>
      <c r="AB271" s="20">
        <f>Data!AG271</f>
        <v>0</v>
      </c>
      <c r="AC271" s="20" t="str">
        <f>CONCATENATE(Data!AI271," ",Data!AJ271)</f>
        <v xml:space="preserve"> </v>
      </c>
    </row>
    <row r="272" spans="1:29" ht="15">
      <c r="A272" s="20" t="str">
        <f>Data!A272</f>
        <v>デモ機</v>
      </c>
      <c r="B272" s="20" t="str">
        <f>Data!C272</f>
        <v>Entire Organization</v>
      </c>
      <c r="C272" s="20" t="str">
        <f>IF(Data!E272=0,"",Data!E272)</f>
        <v/>
      </c>
      <c r="D272" s="26">
        <f t="shared" si="4"/>
        <v>42065.901598344906</v>
      </c>
      <c r="E272" s="27">
        <f>Data!F272</f>
        <v>42065.901598344906</v>
      </c>
      <c r="F272" s="20" t="str">
        <f>Data!G272</f>
        <v>EngineStatusRecord</v>
      </c>
      <c r="G272" s="20">
        <f>Data!H272</f>
        <v>0</v>
      </c>
      <c r="H272" s="20">
        <f>Data!I272</f>
        <v>0</v>
      </c>
      <c r="I272" s="20">
        <f>Data!J272</f>
        <v>0</v>
      </c>
      <c r="J272" s="21" t="str">
        <f>IF(Data!K272=0,"",Data!K272)</f>
        <v/>
      </c>
      <c r="K272" s="22">
        <f>Data!L272</f>
        <v>0</v>
      </c>
      <c r="L272" s="21" t="str">
        <f>IF(Data!N272=0,"",Data!N272)</f>
        <v/>
      </c>
      <c r="M272" s="20">
        <f>Data!O272</f>
        <v>0</v>
      </c>
      <c r="N272" s="20">
        <f>Data!P272</f>
        <v>0</v>
      </c>
      <c r="O272" s="20">
        <f>Data!Q272</f>
        <v>0</v>
      </c>
      <c r="P272" s="20">
        <f>Data!R272</f>
        <v>0</v>
      </c>
      <c r="Q272" s="20">
        <f>Data!S272</f>
        <v>0</v>
      </c>
      <c r="R272" s="20">
        <f>Data!T272</f>
        <v>0</v>
      </c>
      <c r="S272" s="20">
        <f>Data!U272</f>
        <v>0</v>
      </c>
      <c r="T272" s="20">
        <f>Data!V272</f>
        <v>0</v>
      </c>
      <c r="U272" s="20">
        <f>Data!W272</f>
        <v>0</v>
      </c>
      <c r="V272" s="20">
        <f>Data!X272</f>
        <v>0</v>
      </c>
      <c r="W272" s="20">
        <f>Data!Y272</f>
        <v>0</v>
      </c>
      <c r="X272" s="20">
        <f>Data!Z272</f>
        <v>0</v>
      </c>
      <c r="Y272" s="22">
        <f>Data!AL272</f>
        <v>0</v>
      </c>
      <c r="Z272" s="20" t="str">
        <f>Data!AC272</f>
        <v>Cranking voltage</v>
      </c>
      <c r="AA272" s="20" t="str">
        <f>Data!AE272</f>
        <v/>
      </c>
      <c r="AB272" s="20">
        <f>Data!AG272</f>
        <v>0</v>
      </c>
      <c r="AC272" s="20" t="str">
        <f>CONCATENATE(Data!AI272," ",Data!AJ272)</f>
        <v>10.60464 V</v>
      </c>
    </row>
    <row r="273" spans="1:29" ht="15">
      <c r="A273" s="20" t="str">
        <f>Data!A273</f>
        <v>デモ機</v>
      </c>
      <c r="B273" s="20" t="str">
        <f>Data!C273</f>
        <v>Entire Organization</v>
      </c>
      <c r="C273" s="20" t="str">
        <f>IF(Data!E273=0,"",Data!E273)</f>
        <v/>
      </c>
      <c r="D273" s="26">
        <f t="shared" si="4"/>
        <v>42065.901608946762</v>
      </c>
      <c r="E273" s="27">
        <f>Data!F273</f>
        <v>42065.901608946762</v>
      </c>
      <c r="F273" s="20" t="str">
        <f>Data!G273</f>
        <v>EngineStatusRecord</v>
      </c>
      <c r="G273" s="20">
        <f>Data!H273</f>
        <v>0</v>
      </c>
      <c r="H273" s="20">
        <f>Data!I273</f>
        <v>0</v>
      </c>
      <c r="I273" s="20">
        <f>Data!J273</f>
        <v>0</v>
      </c>
      <c r="J273" s="21" t="str">
        <f>IF(Data!K273=0,"",Data!K273)</f>
        <v/>
      </c>
      <c r="K273" s="22">
        <f>Data!L273</f>
        <v>0</v>
      </c>
      <c r="L273" s="21" t="str">
        <f>IF(Data!N273=0,"",Data!N273)</f>
        <v/>
      </c>
      <c r="M273" s="20">
        <f>Data!O273</f>
        <v>0</v>
      </c>
      <c r="N273" s="20">
        <f>Data!P273</f>
        <v>0</v>
      </c>
      <c r="O273" s="20">
        <f>Data!Q273</f>
        <v>0</v>
      </c>
      <c r="P273" s="20">
        <f>Data!R273</f>
        <v>0</v>
      </c>
      <c r="Q273" s="20">
        <f>Data!S273</f>
        <v>0</v>
      </c>
      <c r="R273" s="20">
        <f>Data!T273</f>
        <v>0</v>
      </c>
      <c r="S273" s="20">
        <f>Data!U273</f>
        <v>0</v>
      </c>
      <c r="T273" s="20">
        <f>Data!V273</f>
        <v>0</v>
      </c>
      <c r="U273" s="20">
        <f>Data!W273</f>
        <v>0</v>
      </c>
      <c r="V273" s="20">
        <f>Data!X273</f>
        <v>0</v>
      </c>
      <c r="W273" s="20">
        <f>Data!Y273</f>
        <v>0</v>
      </c>
      <c r="X273" s="20">
        <f>Data!Z273</f>
        <v>0</v>
      </c>
      <c r="Y273" s="22">
        <f>Data!AL273</f>
        <v>0</v>
      </c>
      <c r="Z273" s="20" t="str">
        <f>Data!AC273</f>
        <v>Cranking voltage</v>
      </c>
      <c r="AA273" s="20" t="str">
        <f>Data!AE273</f>
        <v/>
      </c>
      <c r="AB273" s="20">
        <f>Data!AG273</f>
        <v>0</v>
      </c>
      <c r="AC273" s="20" t="str">
        <f>CONCATENATE(Data!AI273," ",Data!AJ273)</f>
        <v>10.92666 V</v>
      </c>
    </row>
    <row r="274" spans="1:29" ht="15">
      <c r="A274" s="20" t="str">
        <f>Data!A274</f>
        <v>デモ機</v>
      </c>
      <c r="B274" s="20" t="str">
        <f>Data!C274</f>
        <v>Entire Organization</v>
      </c>
      <c r="C274" s="20" t="str">
        <f>IF(Data!E274=0,"",Data!E274)</f>
        <v/>
      </c>
      <c r="D274" s="26">
        <f t="shared" si="4"/>
        <v>42065.90160902778</v>
      </c>
      <c r="E274" s="27">
        <f>Data!F274</f>
        <v>42065.90160902778</v>
      </c>
      <c r="F274" s="20" t="str">
        <f>Data!G274</f>
        <v>EngineStatusRecord</v>
      </c>
      <c r="G274" s="20">
        <f>Data!H274</f>
        <v>0</v>
      </c>
      <c r="H274" s="20">
        <f>Data!I274</f>
        <v>0</v>
      </c>
      <c r="I274" s="20">
        <f>Data!J274</f>
        <v>0</v>
      </c>
      <c r="J274" s="21" t="str">
        <f>IF(Data!K274=0,"",Data!K274)</f>
        <v/>
      </c>
      <c r="K274" s="22">
        <f>Data!L274</f>
        <v>0</v>
      </c>
      <c r="L274" s="21" t="str">
        <f>IF(Data!N274=0,"",Data!N274)</f>
        <v/>
      </c>
      <c r="M274" s="20">
        <f>Data!O274</f>
        <v>0</v>
      </c>
      <c r="N274" s="20">
        <f>Data!P274</f>
        <v>0</v>
      </c>
      <c r="O274" s="20">
        <f>Data!Q274</f>
        <v>0</v>
      </c>
      <c r="P274" s="20">
        <f>Data!R274</f>
        <v>0</v>
      </c>
      <c r="Q274" s="20">
        <f>Data!S274</f>
        <v>0</v>
      </c>
      <c r="R274" s="20">
        <f>Data!T274</f>
        <v>0</v>
      </c>
      <c r="S274" s="20">
        <f>Data!U274</f>
        <v>0</v>
      </c>
      <c r="T274" s="20">
        <f>Data!V274</f>
        <v>0</v>
      </c>
      <c r="U274" s="20">
        <f>Data!W274</f>
        <v>0</v>
      </c>
      <c r="V274" s="20">
        <f>Data!X274</f>
        <v>0</v>
      </c>
      <c r="W274" s="20">
        <f>Data!Y274</f>
        <v>0</v>
      </c>
      <c r="X274" s="20">
        <f>Data!Z274</f>
        <v>0</v>
      </c>
      <c r="Y274" s="22">
        <f>Data!AL274</f>
        <v>0</v>
      </c>
      <c r="Z274" s="20" t="str">
        <f>Data!AC274</f>
        <v>Engine RPM</v>
      </c>
      <c r="AA274" s="20" t="str">
        <f>Data!AE274</f>
        <v/>
      </c>
      <c r="AB274" s="20">
        <f>Data!AG274</f>
        <v>0</v>
      </c>
      <c r="AC274" s="20" t="str">
        <f>CONCATENATE(Data!AI274," ",Data!AJ274)</f>
        <v>0 RPM</v>
      </c>
    </row>
    <row r="275" spans="1:29" ht="15">
      <c r="A275" s="20" t="str">
        <f>Data!A275</f>
        <v>デモ機</v>
      </c>
      <c r="B275" s="20" t="str">
        <f>Data!C275</f>
        <v>Entire Organization</v>
      </c>
      <c r="C275" s="20" t="str">
        <f>IF(Data!E275=0,"",Data!E275)</f>
        <v/>
      </c>
      <c r="D275" s="26">
        <f t="shared" si="4"/>
        <v>42065.90160902778</v>
      </c>
      <c r="E275" s="27">
        <f>Data!F275</f>
        <v>42065.90160902778</v>
      </c>
      <c r="F275" s="20" t="str">
        <f>Data!G275</f>
        <v>EngineStatusRecord</v>
      </c>
      <c r="G275" s="20">
        <f>Data!H275</f>
        <v>0</v>
      </c>
      <c r="H275" s="20">
        <f>Data!I275</f>
        <v>0</v>
      </c>
      <c r="I275" s="20">
        <f>Data!J275</f>
        <v>0</v>
      </c>
      <c r="J275" s="21" t="str">
        <f>IF(Data!K275=0,"",Data!K275)</f>
        <v/>
      </c>
      <c r="K275" s="22">
        <f>Data!L275</f>
        <v>0</v>
      </c>
      <c r="L275" s="21" t="str">
        <f>IF(Data!N275=0,"",Data!N275)</f>
        <v/>
      </c>
      <c r="M275" s="20">
        <f>Data!O275</f>
        <v>0</v>
      </c>
      <c r="N275" s="20">
        <f>Data!P275</f>
        <v>0</v>
      </c>
      <c r="O275" s="20">
        <f>Data!Q275</f>
        <v>0</v>
      </c>
      <c r="P275" s="20">
        <f>Data!R275</f>
        <v>0</v>
      </c>
      <c r="Q275" s="20">
        <f>Data!S275</f>
        <v>0</v>
      </c>
      <c r="R275" s="20">
        <f>Data!T275</f>
        <v>0</v>
      </c>
      <c r="S275" s="20">
        <f>Data!U275</f>
        <v>0</v>
      </c>
      <c r="T275" s="20">
        <f>Data!V275</f>
        <v>0</v>
      </c>
      <c r="U275" s="20">
        <f>Data!W275</f>
        <v>0</v>
      </c>
      <c r="V275" s="20">
        <f>Data!X275</f>
        <v>0</v>
      </c>
      <c r="W275" s="20">
        <f>Data!Y275</f>
        <v>0</v>
      </c>
      <c r="X275" s="20">
        <f>Data!Z275</f>
        <v>0</v>
      </c>
      <c r="Y275" s="22">
        <f>Data!AL275</f>
        <v>0</v>
      </c>
      <c r="Z275" s="20" t="str">
        <f>Data!AC275</f>
        <v>Acceleration forward or braking</v>
      </c>
      <c r="AA275" s="20" t="str">
        <f>Data!AE275</f>
        <v/>
      </c>
      <c r="AB275" s="20">
        <f>Data!AG275</f>
        <v>0</v>
      </c>
      <c r="AC275" s="20" t="str">
        <f>CONCATENATE(Data!AI275," ",Data!AJ275)</f>
        <v>0 m/s^2</v>
      </c>
    </row>
    <row r="276" spans="1:29" ht="15">
      <c r="A276" s="20" t="str">
        <f>Data!A276</f>
        <v>デモ機</v>
      </c>
      <c r="B276" s="20" t="str">
        <f>Data!C276</f>
        <v>Entire Organization</v>
      </c>
      <c r="C276" s="20" t="str">
        <f>IF(Data!E276=0,"",Data!E276)</f>
        <v/>
      </c>
      <c r="D276" s="26">
        <f t="shared" si="4"/>
        <v>42065.90160902778</v>
      </c>
      <c r="E276" s="27">
        <f>Data!F276</f>
        <v>42065.90160902778</v>
      </c>
      <c r="F276" s="20" t="str">
        <f>Data!G276</f>
        <v>DebugRecord</v>
      </c>
      <c r="G276" s="20">
        <f>Data!H276</f>
        <v>0</v>
      </c>
      <c r="H276" s="20">
        <f>Data!I276</f>
        <v>0</v>
      </c>
      <c r="I276" s="20">
        <f>Data!J276</f>
        <v>0</v>
      </c>
      <c r="J276" s="21" t="str">
        <f>IF(Data!K276=0,"",Data!K276)</f>
        <v/>
      </c>
      <c r="K276" s="22">
        <f>Data!L276</f>
        <v>0</v>
      </c>
      <c r="L276" s="21" t="str">
        <f>IF(Data!N276=0,"",Data!N276)</f>
        <v>RpmBasedIgn</v>
      </c>
      <c r="M276" s="20">
        <f>Data!O276</f>
        <v>0</v>
      </c>
      <c r="N276" s="20">
        <f>Data!P276</f>
        <v>0</v>
      </c>
      <c r="O276" s="20">
        <f>Data!Q276</f>
        <v>0</v>
      </c>
      <c r="P276" s="20">
        <f>Data!R276</f>
        <v>0</v>
      </c>
      <c r="Q276" s="20">
        <f>Data!S276</f>
        <v>0</v>
      </c>
      <c r="R276" s="20">
        <f>Data!T276</f>
        <v>0</v>
      </c>
      <c r="S276" s="20">
        <f>Data!U276</f>
        <v>0</v>
      </c>
      <c r="T276" s="20">
        <f>Data!V276</f>
        <v>0</v>
      </c>
      <c r="U276" s="20">
        <f>Data!W276</f>
        <v>0</v>
      </c>
      <c r="V276" s="20">
        <f>Data!X276</f>
        <v>0</v>
      </c>
      <c r="W276" s="20">
        <f>Data!Y276</f>
        <v>0</v>
      </c>
      <c r="X276" s="20">
        <f>Data!Z276</f>
        <v>0</v>
      </c>
      <c r="Y276" s="22" t="str">
        <f>Data!AL276</f>
        <v>001400000000000000000000000000</v>
      </c>
      <c r="Z276" s="20">
        <f>Data!AC276</f>
        <v>0</v>
      </c>
      <c r="AA276" s="20">
        <f>Data!AE276</f>
        <v>0</v>
      </c>
      <c r="AB276" s="20">
        <f>Data!AG276</f>
        <v>0</v>
      </c>
      <c r="AC276" s="20" t="str">
        <f>CONCATENATE(Data!AI276," ",Data!AJ276)</f>
        <v xml:space="preserve"> </v>
      </c>
    </row>
    <row r="277" spans="1:29" ht="15">
      <c r="A277" s="20" t="str">
        <f>Data!A277</f>
        <v>デモ機</v>
      </c>
      <c r="B277" s="20" t="str">
        <f>Data!C277</f>
        <v>Entire Organization</v>
      </c>
      <c r="C277" s="20" t="str">
        <f>IF(Data!E277=0,"",Data!E277)</f>
        <v/>
      </c>
      <c r="D277" s="26">
        <f t="shared" si="4"/>
        <v>42065.90160902778</v>
      </c>
      <c r="E277" s="27">
        <f>Data!F277</f>
        <v>42065.90160902778</v>
      </c>
      <c r="F277" s="20" t="str">
        <f>Data!G277</f>
        <v>EngineStatusRecord</v>
      </c>
      <c r="G277" s="20">
        <f>Data!H277</f>
        <v>0</v>
      </c>
      <c r="H277" s="20">
        <f>Data!I277</f>
        <v>0</v>
      </c>
      <c r="I277" s="20">
        <f>Data!J277</f>
        <v>0</v>
      </c>
      <c r="J277" s="21" t="str">
        <f>IF(Data!K277=0,"",Data!K277)</f>
        <v/>
      </c>
      <c r="K277" s="22">
        <f>Data!L277</f>
        <v>0</v>
      </c>
      <c r="L277" s="21" t="str">
        <f>IF(Data!N277=0,"",Data!N277)</f>
        <v/>
      </c>
      <c r="M277" s="20">
        <f>Data!O277</f>
        <v>0</v>
      </c>
      <c r="N277" s="20">
        <f>Data!P277</f>
        <v>0</v>
      </c>
      <c r="O277" s="20">
        <f>Data!Q277</f>
        <v>0</v>
      </c>
      <c r="P277" s="20">
        <f>Data!R277</f>
        <v>0</v>
      </c>
      <c r="Q277" s="20">
        <f>Data!S277</f>
        <v>0</v>
      </c>
      <c r="R277" s="20">
        <f>Data!T277</f>
        <v>0</v>
      </c>
      <c r="S277" s="20">
        <f>Data!U277</f>
        <v>0</v>
      </c>
      <c r="T277" s="20">
        <f>Data!V277</f>
        <v>0</v>
      </c>
      <c r="U277" s="20">
        <f>Data!W277</f>
        <v>0</v>
      </c>
      <c r="V277" s="20">
        <f>Data!X277</f>
        <v>0</v>
      </c>
      <c r="W277" s="20">
        <f>Data!Y277</f>
        <v>0</v>
      </c>
      <c r="X277" s="20">
        <f>Data!Z277</f>
        <v>0</v>
      </c>
      <c r="Y277" s="22">
        <f>Data!AL277</f>
        <v>0</v>
      </c>
      <c r="Z277" s="20" t="str">
        <f>Data!AC277</f>
        <v>Acceleration side to side</v>
      </c>
      <c r="AA277" s="20" t="str">
        <f>Data!AE277</f>
        <v/>
      </c>
      <c r="AB277" s="20">
        <f>Data!AG277</f>
        <v>0</v>
      </c>
      <c r="AC277" s="20" t="str">
        <f>CONCATENATE(Data!AI277," ",Data!AJ277)</f>
        <v>0 m/s^2</v>
      </c>
    </row>
    <row r="278" spans="1:29" ht="15">
      <c r="A278" s="20" t="str">
        <f>Data!A278</f>
        <v>デモ機</v>
      </c>
      <c r="B278" s="20" t="str">
        <f>Data!C278</f>
        <v>Entire Organization</v>
      </c>
      <c r="C278" s="20" t="str">
        <f>IF(Data!E278=0,"",Data!E278)</f>
        <v/>
      </c>
      <c r="D278" s="26">
        <f t="shared" si="4"/>
        <v>42065.90160902778</v>
      </c>
      <c r="E278" s="27">
        <f>Data!F278</f>
        <v>42065.90160902778</v>
      </c>
      <c r="F278" s="20" t="str">
        <f>Data!G278</f>
        <v>EngineStatusRecord</v>
      </c>
      <c r="G278" s="20">
        <f>Data!H278</f>
        <v>0</v>
      </c>
      <c r="H278" s="20">
        <f>Data!I278</f>
        <v>0</v>
      </c>
      <c r="I278" s="20">
        <f>Data!J278</f>
        <v>0</v>
      </c>
      <c r="J278" s="21" t="str">
        <f>IF(Data!K278=0,"",Data!K278)</f>
        <v/>
      </c>
      <c r="K278" s="22">
        <f>Data!L278</f>
        <v>0</v>
      </c>
      <c r="L278" s="21" t="str">
        <f>IF(Data!N278=0,"",Data!N278)</f>
        <v/>
      </c>
      <c r="M278" s="20">
        <f>Data!O278</f>
        <v>0</v>
      </c>
      <c r="N278" s="20">
        <f>Data!P278</f>
        <v>0</v>
      </c>
      <c r="O278" s="20">
        <f>Data!Q278</f>
        <v>0</v>
      </c>
      <c r="P278" s="20">
        <f>Data!R278</f>
        <v>0</v>
      </c>
      <c r="Q278" s="20">
        <f>Data!S278</f>
        <v>0</v>
      </c>
      <c r="R278" s="20">
        <f>Data!T278</f>
        <v>0</v>
      </c>
      <c r="S278" s="20">
        <f>Data!U278</f>
        <v>0</v>
      </c>
      <c r="T278" s="20">
        <f>Data!V278</f>
        <v>0</v>
      </c>
      <c r="U278" s="20">
        <f>Data!W278</f>
        <v>0</v>
      </c>
      <c r="V278" s="20">
        <f>Data!X278</f>
        <v>0</v>
      </c>
      <c r="W278" s="20">
        <f>Data!Y278</f>
        <v>0</v>
      </c>
      <c r="X278" s="20">
        <f>Data!Z278</f>
        <v>0</v>
      </c>
      <c r="Y278" s="22">
        <f>Data!AL278</f>
        <v>0</v>
      </c>
      <c r="Z278" s="20" t="str">
        <f>Data!AC278</f>
        <v>Acceleration up down</v>
      </c>
      <c r="AA278" s="20" t="str">
        <f>Data!AE278</f>
        <v/>
      </c>
      <c r="AB278" s="20">
        <f>Data!AG278</f>
        <v>0</v>
      </c>
      <c r="AC278" s="20" t="str">
        <f>CONCATENATE(Data!AI278," ",Data!AJ278)</f>
        <v>9.7085838317871 m/s^2</v>
      </c>
    </row>
    <row r="279" spans="1:29" ht="15">
      <c r="A279" s="20" t="str">
        <f>Data!A279</f>
        <v>デモ機</v>
      </c>
      <c r="B279" s="20" t="str">
        <f>Data!C279</f>
        <v>Entire Organization</v>
      </c>
      <c r="C279" s="20" t="str">
        <f>IF(Data!E279=0,"",Data!E279)</f>
        <v/>
      </c>
      <c r="D279" s="26">
        <f t="shared" si="4"/>
        <v>42065.901609062501</v>
      </c>
      <c r="E279" s="27">
        <f>Data!F279</f>
        <v>42065.901609062501</v>
      </c>
      <c r="F279" s="20" t="str">
        <f>Data!G279</f>
        <v>EngineStatusRecord</v>
      </c>
      <c r="G279" s="20">
        <f>Data!H279</f>
        <v>0</v>
      </c>
      <c r="H279" s="20">
        <f>Data!I279</f>
        <v>0</v>
      </c>
      <c r="I279" s="20">
        <f>Data!J279</f>
        <v>0</v>
      </c>
      <c r="J279" s="21" t="str">
        <f>IF(Data!K279=0,"",Data!K279)</f>
        <v/>
      </c>
      <c r="K279" s="22">
        <f>Data!L279</f>
        <v>0</v>
      </c>
      <c r="L279" s="21" t="str">
        <f>IF(Data!N279=0,"",Data!N279)</f>
        <v/>
      </c>
      <c r="M279" s="20">
        <f>Data!O279</f>
        <v>0</v>
      </c>
      <c r="N279" s="20">
        <f>Data!P279</f>
        <v>0</v>
      </c>
      <c r="O279" s="20">
        <f>Data!Q279</f>
        <v>0</v>
      </c>
      <c r="P279" s="20">
        <f>Data!R279</f>
        <v>0</v>
      </c>
      <c r="Q279" s="20">
        <f>Data!S279</f>
        <v>0</v>
      </c>
      <c r="R279" s="20">
        <f>Data!T279</f>
        <v>0</v>
      </c>
      <c r="S279" s="20">
        <f>Data!U279</f>
        <v>0</v>
      </c>
      <c r="T279" s="20">
        <f>Data!V279</f>
        <v>0</v>
      </c>
      <c r="U279" s="20">
        <f>Data!W279</f>
        <v>0</v>
      </c>
      <c r="V279" s="20">
        <f>Data!X279</f>
        <v>0</v>
      </c>
      <c r="W279" s="20">
        <f>Data!Y279</f>
        <v>0</v>
      </c>
      <c r="X279" s="20">
        <f>Data!Z279</f>
        <v>0</v>
      </c>
      <c r="Y279" s="22">
        <f>Data!AL279</f>
        <v>0</v>
      </c>
      <c r="Z279" s="20" t="str">
        <f>Data!AC279</f>
        <v>OBD\CAN 11bit 500k engine protocol detected</v>
      </c>
      <c r="AA279" s="20" t="str">
        <f>Data!AE279</f>
        <v/>
      </c>
      <c r="AB279" s="20">
        <f>Data!AG279</f>
        <v>0</v>
      </c>
      <c r="AC279" s="20" t="str">
        <f>CONCATENATE(Data!AI279," ",Data!AJ279)</f>
        <v xml:space="preserve">1 </v>
      </c>
    </row>
    <row r="280" spans="1:29" ht="15">
      <c r="A280" s="20" t="str">
        <f>Data!A280</f>
        <v>デモ機</v>
      </c>
      <c r="B280" s="20" t="str">
        <f>Data!C280</f>
        <v>Entire Organization</v>
      </c>
      <c r="C280" s="20" t="str">
        <f>IF(Data!E280=0,"",Data!E280)</f>
        <v/>
      </c>
      <c r="D280" s="26">
        <f t="shared" si="4"/>
        <v>42065.901609062501</v>
      </c>
      <c r="E280" s="27">
        <f>Data!F280</f>
        <v>42065.901609062501</v>
      </c>
      <c r="F280" s="20" t="str">
        <f>Data!G280</f>
        <v>EngineStatusRecord</v>
      </c>
      <c r="G280" s="20">
        <f>Data!H280</f>
        <v>0</v>
      </c>
      <c r="H280" s="20">
        <f>Data!I280</f>
        <v>0</v>
      </c>
      <c r="I280" s="20">
        <f>Data!J280</f>
        <v>0</v>
      </c>
      <c r="J280" s="21" t="str">
        <f>IF(Data!K280=0,"",Data!K280)</f>
        <v/>
      </c>
      <c r="K280" s="22">
        <f>Data!L280</f>
        <v>0</v>
      </c>
      <c r="L280" s="21" t="str">
        <f>IF(Data!N280=0,"",Data!N280)</f>
        <v/>
      </c>
      <c r="M280" s="20">
        <f>Data!O280</f>
        <v>0</v>
      </c>
      <c r="N280" s="20">
        <f>Data!P280</f>
        <v>0</v>
      </c>
      <c r="O280" s="20">
        <f>Data!Q280</f>
        <v>0</v>
      </c>
      <c r="P280" s="20">
        <f>Data!R280</f>
        <v>0</v>
      </c>
      <c r="Q280" s="20">
        <f>Data!S280</f>
        <v>0</v>
      </c>
      <c r="R280" s="20">
        <f>Data!T280</f>
        <v>0</v>
      </c>
      <c r="S280" s="20">
        <f>Data!U280</f>
        <v>0</v>
      </c>
      <c r="T280" s="20">
        <f>Data!V280</f>
        <v>0</v>
      </c>
      <c r="U280" s="20">
        <f>Data!W280</f>
        <v>0</v>
      </c>
      <c r="V280" s="20">
        <f>Data!X280</f>
        <v>0</v>
      </c>
      <c r="W280" s="20">
        <f>Data!Y280</f>
        <v>0</v>
      </c>
      <c r="X280" s="20">
        <f>Data!Z280</f>
        <v>0</v>
      </c>
      <c r="Y280" s="22">
        <f>Data!AL280</f>
        <v>0</v>
      </c>
      <c r="Z280" s="20" t="str">
        <f>Data!AC280</f>
        <v>Driver seatbelt (1=unbuckled)</v>
      </c>
      <c r="AA280" s="20" t="str">
        <f>Data!AE280</f>
        <v/>
      </c>
      <c r="AB280" s="20">
        <f>Data!AG280</f>
        <v>0</v>
      </c>
      <c r="AC280" s="20" t="str">
        <f>CONCATENATE(Data!AI280," ",Data!AJ280)</f>
        <v xml:space="preserve">-1 </v>
      </c>
    </row>
    <row r="281" spans="1:29" ht="15">
      <c r="A281" s="20" t="str">
        <f>Data!A281</f>
        <v>デモ機</v>
      </c>
      <c r="B281" s="20" t="str">
        <f>Data!C281</f>
        <v>Entire Organization</v>
      </c>
      <c r="C281" s="20" t="str">
        <f>IF(Data!E281=0,"",Data!E281)</f>
        <v/>
      </c>
      <c r="D281" s="26">
        <f t="shared" si="4"/>
        <v>42065.901609108798</v>
      </c>
      <c r="E281" s="27">
        <f>Data!F281</f>
        <v>42065.901609108798</v>
      </c>
      <c r="F281" s="20" t="str">
        <f>Data!G281</f>
        <v>DebugRecord</v>
      </c>
      <c r="G281" s="20">
        <f>Data!H281</f>
        <v>0</v>
      </c>
      <c r="H281" s="20">
        <f>Data!I281</f>
        <v>0</v>
      </c>
      <c r="I281" s="20">
        <f>Data!J281</f>
        <v>0</v>
      </c>
      <c r="J281" s="21" t="str">
        <f>IF(Data!K281=0,"",Data!K281)</f>
        <v/>
      </c>
      <c r="K281" s="22">
        <f>Data!L281</f>
        <v>0</v>
      </c>
      <c r="L281" s="21" t="str">
        <f>IF(Data!N281=0,"",Data!N281)</f>
        <v>SetServerIndex</v>
      </c>
      <c r="M281" s="20">
        <f>Data!O281</f>
        <v>0</v>
      </c>
      <c r="N281" s="20">
        <f>Data!P281</f>
        <v>0</v>
      </c>
      <c r="O281" s="20">
        <f>Data!Q281</f>
        <v>0</v>
      </c>
      <c r="P281" s="20">
        <f>Data!R281</f>
        <v>0</v>
      </c>
      <c r="Q281" s="20">
        <f>Data!S281</f>
        <v>0</v>
      </c>
      <c r="R281" s="20">
        <f>Data!T281</f>
        <v>0</v>
      </c>
      <c r="S281" s="20">
        <f>Data!U281</f>
        <v>0</v>
      </c>
      <c r="T281" s="20">
        <f>Data!V281</f>
        <v>0</v>
      </c>
      <c r="U281" s="20">
        <f>Data!W281</f>
        <v>0</v>
      </c>
      <c r="V281" s="20">
        <f>Data!X281</f>
        <v>0</v>
      </c>
      <c r="W281" s="20">
        <f>Data!Y281</f>
        <v>0</v>
      </c>
      <c r="X281" s="20">
        <f>Data!Z281</f>
        <v>0</v>
      </c>
      <c r="Y281" s="22" t="str">
        <f>Data!AL281</f>
        <v>000000000000000000000000000000</v>
      </c>
      <c r="Z281" s="20">
        <f>Data!AC281</f>
        <v>0</v>
      </c>
      <c r="AA281" s="20">
        <f>Data!AE281</f>
        <v>0</v>
      </c>
      <c r="AB281" s="20">
        <f>Data!AG281</f>
        <v>0</v>
      </c>
      <c r="AC281" s="20" t="str">
        <f>CONCATENATE(Data!AI281," ",Data!AJ281)</f>
        <v xml:space="preserve"> </v>
      </c>
    </row>
    <row r="282" spans="1:29" ht="15">
      <c r="A282" s="20" t="str">
        <f>Data!A282</f>
        <v>デモ機</v>
      </c>
      <c r="B282" s="20" t="str">
        <f>Data!C282</f>
        <v>Entire Organization</v>
      </c>
      <c r="C282" s="20" t="str">
        <f>IF(Data!E282=0,"",Data!E282)</f>
        <v/>
      </c>
      <c r="D282" s="26">
        <f t="shared" si="4"/>
        <v>42065.901609108798</v>
      </c>
      <c r="E282" s="27">
        <f>Data!F282</f>
        <v>42065.901609108798</v>
      </c>
      <c r="F282" s="20" t="str">
        <f>Data!G282</f>
        <v>DebugRecord</v>
      </c>
      <c r="G282" s="20">
        <f>Data!H282</f>
        <v>0</v>
      </c>
      <c r="H282" s="20">
        <f>Data!I282</f>
        <v>0</v>
      </c>
      <c r="I282" s="20">
        <f>Data!J282</f>
        <v>0</v>
      </c>
      <c r="J282" s="21" t="str">
        <f>IF(Data!K282=0,"",Data!K282)</f>
        <v/>
      </c>
      <c r="K282" s="22">
        <f>Data!L282</f>
        <v>0</v>
      </c>
      <c r="L282" s="21" t="str">
        <f>IF(Data!N282=0,"",Data!N282)</f>
        <v>CanBusStatusBetweenTrips</v>
      </c>
      <c r="M282" s="20">
        <f>Data!O282</f>
        <v>0</v>
      </c>
      <c r="N282" s="20">
        <f>Data!P282</f>
        <v>0</v>
      </c>
      <c r="O282" s="20">
        <f>Data!Q282</f>
        <v>0</v>
      </c>
      <c r="P282" s="20">
        <f>Data!R282</f>
        <v>0</v>
      </c>
      <c r="Q282" s="20">
        <f>Data!S282</f>
        <v>0</v>
      </c>
      <c r="R282" s="20">
        <f>Data!T282</f>
        <v>0</v>
      </c>
      <c r="S282" s="20">
        <f>Data!U282</f>
        <v>0</v>
      </c>
      <c r="T282" s="20">
        <f>Data!V282</f>
        <v>0</v>
      </c>
      <c r="U282" s="20">
        <f>Data!W282</f>
        <v>0</v>
      </c>
      <c r="V282" s="20">
        <f>Data!X282</f>
        <v>0</v>
      </c>
      <c r="W282" s="20">
        <f>Data!Y282</f>
        <v>0</v>
      </c>
      <c r="X282" s="20">
        <f>Data!Z282</f>
        <v>0</v>
      </c>
      <c r="Y282" s="22" t="str">
        <f>Data!AL282</f>
        <v>010000000000000000000000000000</v>
      </c>
      <c r="Z282" s="20">
        <f>Data!AC282</f>
        <v>0</v>
      </c>
      <c r="AA282" s="20">
        <f>Data!AE282</f>
        <v>0</v>
      </c>
      <c r="AB282" s="20">
        <f>Data!AG282</f>
        <v>0</v>
      </c>
      <c r="AC282" s="20" t="str">
        <f>CONCATENATE(Data!AI282," ",Data!AJ282)</f>
        <v xml:space="preserve"> </v>
      </c>
    </row>
    <row r="283" spans="1:29" ht="15">
      <c r="A283" s="20" t="str">
        <f>Data!A283</f>
        <v>デモ機</v>
      </c>
      <c r="B283" s="20" t="str">
        <f>Data!C283</f>
        <v>Entire Organization</v>
      </c>
      <c r="C283" s="20" t="str">
        <f>IF(Data!E283=0,"",Data!E283)</f>
        <v/>
      </c>
      <c r="D283" s="26">
        <f t="shared" si="4"/>
        <v>42065.901609108798</v>
      </c>
      <c r="E283" s="27">
        <f>Data!F283</f>
        <v>42065.901609108798</v>
      </c>
      <c r="F283" s="20" t="str">
        <f>Data!G283</f>
        <v>DebugRecord</v>
      </c>
      <c r="G283" s="20">
        <f>Data!H283</f>
        <v>0</v>
      </c>
      <c r="H283" s="20">
        <f>Data!I283</f>
        <v>0</v>
      </c>
      <c r="I283" s="20">
        <f>Data!J283</f>
        <v>0</v>
      </c>
      <c r="J283" s="21" t="str">
        <f>IF(Data!K283=0,"",Data!K283)</f>
        <v/>
      </c>
      <c r="K283" s="22">
        <f>Data!L283</f>
        <v>0</v>
      </c>
      <c r="L283" s="21" t="str">
        <f>IF(Data!N283=0,"",Data!N283)</f>
        <v>DebugGoDeviceDistance</v>
      </c>
      <c r="M283" s="20">
        <f>Data!O283</f>
        <v>0</v>
      </c>
      <c r="N283" s="20">
        <f>Data!P283</f>
        <v>0</v>
      </c>
      <c r="O283" s="20">
        <f>Data!Q283</f>
        <v>0</v>
      </c>
      <c r="P283" s="20">
        <f>Data!R283</f>
        <v>0</v>
      </c>
      <c r="Q283" s="20">
        <f>Data!S283</f>
        <v>0</v>
      </c>
      <c r="R283" s="20">
        <f>Data!T283</f>
        <v>0</v>
      </c>
      <c r="S283" s="20">
        <f>Data!U283</f>
        <v>0</v>
      </c>
      <c r="T283" s="20">
        <f>Data!V283</f>
        <v>0</v>
      </c>
      <c r="U283" s="20">
        <f>Data!W283</f>
        <v>0</v>
      </c>
      <c r="V283" s="20">
        <f>Data!X283</f>
        <v>0</v>
      </c>
      <c r="W283" s="20">
        <f>Data!Y283</f>
        <v>0</v>
      </c>
      <c r="X283" s="20">
        <f>Data!Z283</f>
        <v>0</v>
      </c>
      <c r="Y283" s="22" t="str">
        <f>Data!AL283</f>
        <v>750C00000000000000000000000000</v>
      </c>
      <c r="Z283" s="20">
        <f>Data!AC283</f>
        <v>0</v>
      </c>
      <c r="AA283" s="20">
        <f>Data!AE283</f>
        <v>0</v>
      </c>
      <c r="AB283" s="20">
        <f>Data!AG283</f>
        <v>0</v>
      </c>
      <c r="AC283" s="20" t="str">
        <f>CONCATENATE(Data!AI283," ",Data!AJ283)</f>
        <v xml:space="preserve"> </v>
      </c>
    </row>
    <row r="284" spans="1:29" ht="15">
      <c r="A284" s="20" t="str">
        <f>Data!A284</f>
        <v>デモ機</v>
      </c>
      <c r="B284" s="20" t="str">
        <f>Data!C284</f>
        <v>Entire Organization</v>
      </c>
      <c r="C284" s="20" t="str">
        <f>IF(Data!E284=0,"",Data!E284)</f>
        <v/>
      </c>
      <c r="D284" s="26">
        <f t="shared" si="4"/>
        <v>42065.901609143519</v>
      </c>
      <c r="E284" s="27">
        <f>Data!F284</f>
        <v>42065.901609143519</v>
      </c>
      <c r="F284" s="20" t="str">
        <f>Data!G284</f>
        <v>EngineStatusRecord</v>
      </c>
      <c r="G284" s="20">
        <f>Data!H284</f>
        <v>0</v>
      </c>
      <c r="H284" s="20">
        <f>Data!I284</f>
        <v>0</v>
      </c>
      <c r="I284" s="20">
        <f>Data!J284</f>
        <v>0</v>
      </c>
      <c r="J284" s="21" t="str">
        <f>IF(Data!K284=0,"",Data!K284)</f>
        <v/>
      </c>
      <c r="K284" s="22">
        <f>Data!L284</f>
        <v>0</v>
      </c>
      <c r="L284" s="21" t="str">
        <f>IF(Data!N284=0,"",Data!N284)</f>
        <v/>
      </c>
      <c r="M284" s="20">
        <f>Data!O284</f>
        <v>0</v>
      </c>
      <c r="N284" s="20">
        <f>Data!P284</f>
        <v>0</v>
      </c>
      <c r="O284" s="20">
        <f>Data!Q284</f>
        <v>0</v>
      </c>
      <c r="P284" s="20">
        <f>Data!R284</f>
        <v>0</v>
      </c>
      <c r="Q284" s="20">
        <f>Data!S284</f>
        <v>0</v>
      </c>
      <c r="R284" s="20">
        <f>Data!T284</f>
        <v>0</v>
      </c>
      <c r="S284" s="20">
        <f>Data!U284</f>
        <v>0</v>
      </c>
      <c r="T284" s="20">
        <f>Data!V284</f>
        <v>0</v>
      </c>
      <c r="U284" s="20">
        <f>Data!W284</f>
        <v>0</v>
      </c>
      <c r="V284" s="20">
        <f>Data!X284</f>
        <v>0</v>
      </c>
      <c r="W284" s="20">
        <f>Data!Y284</f>
        <v>0</v>
      </c>
      <c r="X284" s="20">
        <f>Data!Z284</f>
        <v>0</v>
      </c>
      <c r="Y284" s="22">
        <f>Data!AL284</f>
        <v>0</v>
      </c>
      <c r="Z284" s="20" t="str">
        <f>Data!AC284</f>
        <v>Vehicle active (idle or driving)</v>
      </c>
      <c r="AA284" s="20" t="str">
        <f>Data!AE284</f>
        <v/>
      </c>
      <c r="AB284" s="20">
        <f>Data!AG284</f>
        <v>0</v>
      </c>
      <c r="AC284" s="20" t="str">
        <f>CONCATENATE(Data!AI284," ",Data!AJ284)</f>
        <v xml:space="preserve">1 </v>
      </c>
    </row>
    <row r="285" spans="1:29" ht="15">
      <c r="A285" s="20" t="str">
        <f>Data!A285</f>
        <v>デモ機</v>
      </c>
      <c r="B285" s="20" t="str">
        <f>Data!C285</f>
        <v>Entire Organization</v>
      </c>
      <c r="C285" s="20" t="str">
        <f>IF(Data!E285=0,"",Data!E285)</f>
        <v/>
      </c>
      <c r="D285" s="26">
        <f t="shared" si="4"/>
        <v>42065.90160917824</v>
      </c>
      <c r="E285" s="27">
        <f>Data!F285</f>
        <v>42065.90160917824</v>
      </c>
      <c r="F285" s="20" t="str">
        <f>Data!G285</f>
        <v>EngineStatusRecord</v>
      </c>
      <c r="G285" s="20">
        <f>Data!H285</f>
        <v>0</v>
      </c>
      <c r="H285" s="20">
        <f>Data!I285</f>
        <v>0</v>
      </c>
      <c r="I285" s="20">
        <f>Data!J285</f>
        <v>0</v>
      </c>
      <c r="J285" s="21" t="str">
        <f>IF(Data!K285=0,"",Data!K285)</f>
        <v/>
      </c>
      <c r="K285" s="22">
        <f>Data!L285</f>
        <v>0</v>
      </c>
      <c r="L285" s="21" t="str">
        <f>IF(Data!N285=0,"",Data!N285)</f>
        <v/>
      </c>
      <c r="M285" s="20">
        <f>Data!O285</f>
        <v>0</v>
      </c>
      <c r="N285" s="20">
        <f>Data!P285</f>
        <v>0</v>
      </c>
      <c r="O285" s="20">
        <f>Data!Q285</f>
        <v>0</v>
      </c>
      <c r="P285" s="20">
        <f>Data!R285</f>
        <v>0</v>
      </c>
      <c r="Q285" s="20">
        <f>Data!S285</f>
        <v>0</v>
      </c>
      <c r="R285" s="20">
        <f>Data!T285</f>
        <v>0</v>
      </c>
      <c r="S285" s="20">
        <f>Data!U285</f>
        <v>0</v>
      </c>
      <c r="T285" s="20">
        <f>Data!V285</f>
        <v>0</v>
      </c>
      <c r="U285" s="20">
        <f>Data!W285</f>
        <v>0</v>
      </c>
      <c r="V285" s="20">
        <f>Data!X285</f>
        <v>0</v>
      </c>
      <c r="W285" s="20">
        <f>Data!Y285</f>
        <v>0</v>
      </c>
      <c r="X285" s="20">
        <f>Data!Z285</f>
        <v>0</v>
      </c>
      <c r="Y285" s="22">
        <f>Data!AL285</f>
        <v>0</v>
      </c>
      <c r="Z285" s="20" t="str">
        <f>Data!AC285</f>
        <v>Passenger occupancy (1=occupied)</v>
      </c>
      <c r="AA285" s="20" t="str">
        <f>Data!AE285</f>
        <v/>
      </c>
      <c r="AB285" s="20">
        <f>Data!AG285</f>
        <v>0</v>
      </c>
      <c r="AC285" s="20" t="str">
        <f>CONCATENATE(Data!AI285," ",Data!AJ285)</f>
        <v xml:space="preserve">-1 </v>
      </c>
    </row>
    <row r="286" spans="1:29" ht="15">
      <c r="A286" s="20" t="str">
        <f>Data!A286</f>
        <v>デモ機</v>
      </c>
      <c r="B286" s="20" t="str">
        <f>Data!C286</f>
        <v>Entire Organization</v>
      </c>
      <c r="C286" s="20" t="str">
        <f>IF(Data!E286=0,"",Data!E286)</f>
        <v/>
      </c>
      <c r="D286" s="26">
        <f t="shared" si="4"/>
        <v>42065.901609293978</v>
      </c>
      <c r="E286" s="27">
        <f>Data!F286</f>
        <v>42065.901609293978</v>
      </c>
      <c r="F286" s="20" t="str">
        <f>Data!G286</f>
        <v>EngineStatusRecord</v>
      </c>
      <c r="G286" s="20">
        <f>Data!H286</f>
        <v>0</v>
      </c>
      <c r="H286" s="20">
        <f>Data!I286</f>
        <v>0</v>
      </c>
      <c r="I286" s="20">
        <f>Data!J286</f>
        <v>0</v>
      </c>
      <c r="J286" s="21" t="str">
        <f>IF(Data!K286=0,"",Data!K286)</f>
        <v/>
      </c>
      <c r="K286" s="22">
        <f>Data!L286</f>
        <v>0</v>
      </c>
      <c r="L286" s="21" t="str">
        <f>IF(Data!N286=0,"",Data!N286)</f>
        <v/>
      </c>
      <c r="M286" s="20">
        <f>Data!O286</f>
        <v>0</v>
      </c>
      <c r="N286" s="20">
        <f>Data!P286</f>
        <v>0</v>
      </c>
      <c r="O286" s="20">
        <f>Data!Q286</f>
        <v>0</v>
      </c>
      <c r="P286" s="20">
        <f>Data!R286</f>
        <v>0</v>
      </c>
      <c r="Q286" s="20">
        <f>Data!S286</f>
        <v>0</v>
      </c>
      <c r="R286" s="20">
        <f>Data!T286</f>
        <v>0</v>
      </c>
      <c r="S286" s="20">
        <f>Data!U286</f>
        <v>0</v>
      </c>
      <c r="T286" s="20">
        <f>Data!V286</f>
        <v>0</v>
      </c>
      <c r="U286" s="20">
        <f>Data!W286</f>
        <v>0</v>
      </c>
      <c r="V286" s="20">
        <f>Data!X286</f>
        <v>0</v>
      </c>
      <c r="W286" s="20">
        <f>Data!Y286</f>
        <v>0</v>
      </c>
      <c r="X286" s="20">
        <f>Data!Z286</f>
        <v>0</v>
      </c>
      <c r="Y286" s="22">
        <f>Data!AL286</f>
        <v>0</v>
      </c>
      <c r="Z286" s="20" t="str">
        <f>Data!AC286</f>
        <v>Passenger seatbelt violation (1=unbuckled)</v>
      </c>
      <c r="AA286" s="20" t="str">
        <f>Data!AE286</f>
        <v/>
      </c>
      <c r="AB286" s="20">
        <f>Data!AG286</f>
        <v>0</v>
      </c>
      <c r="AC286" s="20" t="str">
        <f>CONCATENATE(Data!AI286," ",Data!AJ286)</f>
        <v xml:space="preserve">-1 </v>
      </c>
    </row>
    <row r="287" spans="1:29" ht="15">
      <c r="A287" s="20" t="str">
        <f>Data!A287</f>
        <v>デモ機</v>
      </c>
      <c r="B287" s="20" t="str">
        <f>Data!C287</f>
        <v>Entire Organization</v>
      </c>
      <c r="C287" s="20" t="str">
        <f>IF(Data!E287=0,"",Data!E287)</f>
        <v/>
      </c>
      <c r="D287" s="26">
        <f t="shared" si="4"/>
        <v>42065.901609409724</v>
      </c>
      <c r="E287" s="27">
        <f>Data!F287</f>
        <v>42065.901609409724</v>
      </c>
      <c r="F287" s="20" t="str">
        <f>Data!G287</f>
        <v>EngineStatusRecord</v>
      </c>
      <c r="G287" s="20">
        <f>Data!H287</f>
        <v>0</v>
      </c>
      <c r="H287" s="20">
        <f>Data!I287</f>
        <v>0</v>
      </c>
      <c r="I287" s="20">
        <f>Data!J287</f>
        <v>0</v>
      </c>
      <c r="J287" s="21" t="str">
        <f>IF(Data!K287=0,"",Data!K287)</f>
        <v/>
      </c>
      <c r="K287" s="22">
        <f>Data!L287</f>
        <v>0</v>
      </c>
      <c r="L287" s="21" t="str">
        <f>IF(Data!N287=0,"",Data!N287)</f>
        <v/>
      </c>
      <c r="M287" s="20">
        <f>Data!O287</f>
        <v>0</v>
      </c>
      <c r="N287" s="20">
        <f>Data!P287</f>
        <v>0</v>
      </c>
      <c r="O287" s="20">
        <f>Data!Q287</f>
        <v>0</v>
      </c>
      <c r="P287" s="20">
        <f>Data!R287</f>
        <v>0</v>
      </c>
      <c r="Q287" s="20">
        <f>Data!S287</f>
        <v>0</v>
      </c>
      <c r="R287" s="20">
        <f>Data!T287</f>
        <v>0</v>
      </c>
      <c r="S287" s="20">
        <f>Data!U287</f>
        <v>0</v>
      </c>
      <c r="T287" s="20">
        <f>Data!V287</f>
        <v>0</v>
      </c>
      <c r="U287" s="20">
        <f>Data!W287</f>
        <v>0</v>
      </c>
      <c r="V287" s="20">
        <f>Data!X287</f>
        <v>0</v>
      </c>
      <c r="W287" s="20">
        <f>Data!Y287</f>
        <v>0</v>
      </c>
      <c r="X287" s="20">
        <f>Data!Z287</f>
        <v>0</v>
      </c>
      <c r="Y287" s="22">
        <f>Data!AL287</f>
        <v>0</v>
      </c>
      <c r="Z287" s="20" t="str">
        <f>Data!AC287</f>
        <v>Total fuel used (since telematics device install)</v>
      </c>
      <c r="AA287" s="20" t="str">
        <f>Data!AE287</f>
        <v/>
      </c>
      <c r="AB287" s="20">
        <f>Data!AG287</f>
        <v>0</v>
      </c>
      <c r="AC287" s="20" t="str">
        <f>CONCATENATE(Data!AI287," ",Data!AJ287)</f>
        <v>0.34 L</v>
      </c>
    </row>
    <row r="288" spans="1:29" ht="15">
      <c r="A288" s="20" t="str">
        <f>Data!A288</f>
        <v>デモ機</v>
      </c>
      <c r="B288" s="20" t="str">
        <f>Data!C288</f>
        <v>Entire Organization</v>
      </c>
      <c r="C288" s="20" t="str">
        <f>IF(Data!E288=0,"",Data!E288)</f>
        <v/>
      </c>
      <c r="D288" s="26">
        <f t="shared" si="4"/>
        <v>42065.901609525463</v>
      </c>
      <c r="E288" s="27">
        <f>Data!F288</f>
        <v>42065.901609525463</v>
      </c>
      <c r="F288" s="20" t="str">
        <f>Data!G288</f>
        <v>EngineStatusRecord</v>
      </c>
      <c r="G288" s="20">
        <f>Data!H288</f>
        <v>0</v>
      </c>
      <c r="H288" s="20">
        <f>Data!I288</f>
        <v>0</v>
      </c>
      <c r="I288" s="20">
        <f>Data!J288</f>
        <v>0</v>
      </c>
      <c r="J288" s="21" t="str">
        <f>IF(Data!K288=0,"",Data!K288)</f>
        <v/>
      </c>
      <c r="K288" s="22">
        <f>Data!L288</f>
        <v>0</v>
      </c>
      <c r="L288" s="21" t="str">
        <f>IF(Data!N288=0,"",Data!N288)</f>
        <v/>
      </c>
      <c r="M288" s="20">
        <f>Data!O288</f>
        <v>0</v>
      </c>
      <c r="N288" s="20">
        <f>Data!P288</f>
        <v>0</v>
      </c>
      <c r="O288" s="20">
        <f>Data!Q288</f>
        <v>0</v>
      </c>
      <c r="P288" s="20">
        <f>Data!R288</f>
        <v>0</v>
      </c>
      <c r="Q288" s="20">
        <f>Data!S288</f>
        <v>0</v>
      </c>
      <c r="R288" s="20">
        <f>Data!T288</f>
        <v>0</v>
      </c>
      <c r="S288" s="20">
        <f>Data!U288</f>
        <v>0</v>
      </c>
      <c r="T288" s="20">
        <f>Data!V288</f>
        <v>0</v>
      </c>
      <c r="U288" s="20">
        <f>Data!W288</f>
        <v>0</v>
      </c>
      <c r="V288" s="20">
        <f>Data!X288</f>
        <v>0</v>
      </c>
      <c r="W288" s="20">
        <f>Data!Y288</f>
        <v>0</v>
      </c>
      <c r="X288" s="20">
        <f>Data!Z288</f>
        <v>0</v>
      </c>
      <c r="Y288" s="22">
        <f>Data!AL288</f>
        <v>0</v>
      </c>
      <c r="Z288" s="20" t="str">
        <f>Data!AC288</f>
        <v>Ignition</v>
      </c>
      <c r="AA288" s="20" t="str">
        <f>Data!AE288</f>
        <v/>
      </c>
      <c r="AB288" s="20">
        <f>Data!AG288</f>
        <v>0</v>
      </c>
      <c r="AC288" s="20" t="str">
        <f>CONCATENATE(Data!AI288," ",Data!AJ288)</f>
        <v xml:space="preserve">1 </v>
      </c>
    </row>
    <row r="289" spans="1:29" ht="15">
      <c r="A289" s="20" t="str">
        <f>Data!A289</f>
        <v>デモ機</v>
      </c>
      <c r="B289" s="20" t="str">
        <f>Data!C289</f>
        <v>Entire Organization</v>
      </c>
      <c r="C289" s="20" t="str">
        <f>IF(Data!E289=0,"",Data!E289)</f>
        <v/>
      </c>
      <c r="D289" s="26">
        <f t="shared" si="4"/>
        <v>42065.901609525463</v>
      </c>
      <c r="E289" s="27">
        <f>Data!F289</f>
        <v>42065.901609525463</v>
      </c>
      <c r="F289" s="20" t="str">
        <f>Data!G289</f>
        <v>EngineStatusRecord</v>
      </c>
      <c r="G289" s="20">
        <f>Data!H289</f>
        <v>0</v>
      </c>
      <c r="H289" s="20">
        <f>Data!I289</f>
        <v>0</v>
      </c>
      <c r="I289" s="20">
        <f>Data!J289</f>
        <v>0</v>
      </c>
      <c r="J289" s="21" t="str">
        <f>IF(Data!K289=0,"",Data!K289)</f>
        <v/>
      </c>
      <c r="K289" s="22">
        <f>Data!L289</f>
        <v>0</v>
      </c>
      <c r="L289" s="21" t="str">
        <f>IF(Data!N289=0,"",Data!N289)</f>
        <v/>
      </c>
      <c r="M289" s="20">
        <f>Data!O289</f>
        <v>0</v>
      </c>
      <c r="N289" s="20">
        <f>Data!P289</f>
        <v>0</v>
      </c>
      <c r="O289" s="20">
        <f>Data!Q289</f>
        <v>0</v>
      </c>
      <c r="P289" s="20">
        <f>Data!R289</f>
        <v>0</v>
      </c>
      <c r="Q289" s="20">
        <f>Data!S289</f>
        <v>0</v>
      </c>
      <c r="R289" s="20">
        <f>Data!T289</f>
        <v>0</v>
      </c>
      <c r="S289" s="20">
        <f>Data!U289</f>
        <v>0</v>
      </c>
      <c r="T289" s="20">
        <f>Data!V289</f>
        <v>0</v>
      </c>
      <c r="U289" s="20">
        <f>Data!W289</f>
        <v>0</v>
      </c>
      <c r="V289" s="20">
        <f>Data!X289</f>
        <v>0</v>
      </c>
      <c r="W289" s="20">
        <f>Data!Y289</f>
        <v>0</v>
      </c>
      <c r="X289" s="20">
        <f>Data!Z289</f>
        <v>0</v>
      </c>
      <c r="Y289" s="22">
        <f>Data!AL289</f>
        <v>0</v>
      </c>
      <c r="Z289" s="20" t="str">
        <f>Data!AC289</f>
        <v>Total fuel used while idling (since telematics device install)</v>
      </c>
      <c r="AA289" s="20" t="str">
        <f>Data!AE289</f>
        <v/>
      </c>
      <c r="AB289" s="20">
        <f>Data!AG289</f>
        <v>0</v>
      </c>
      <c r="AC289" s="20" t="str">
        <f>CONCATENATE(Data!AI289," ",Data!AJ289)</f>
        <v>0.08 L</v>
      </c>
    </row>
    <row r="290" spans="1:29" ht="15">
      <c r="A290" s="20" t="str">
        <f>Data!A290</f>
        <v>デモ機</v>
      </c>
      <c r="B290" s="20" t="str">
        <f>Data!C290</f>
        <v>Entire Organization</v>
      </c>
      <c r="C290" s="20" t="str">
        <f>IF(Data!E290=0,"",Data!E290)</f>
        <v/>
      </c>
      <c r="D290" s="26">
        <f t="shared" si="4"/>
        <v>42065.901609525463</v>
      </c>
      <c r="E290" s="27">
        <f>Data!F290</f>
        <v>42065.901609525463</v>
      </c>
      <c r="F290" s="20" t="str">
        <f>Data!G290</f>
        <v>GpsRecord</v>
      </c>
      <c r="G290" s="20">
        <f>Data!H290</f>
        <v>0</v>
      </c>
      <c r="H290" s="20">
        <f>Data!I290</f>
        <v>139.39483999999999</v>
      </c>
      <c r="I290" s="20">
        <f>Data!J290</f>
        <v>35.585920000000002</v>
      </c>
      <c r="J290" s="21" t="str">
        <f>IF(Data!K290=0,"",Data!K290)</f>
        <v>日本, 〒194-0213 東京都町田市常盤町 町田街道</v>
      </c>
      <c r="K290" s="22">
        <f>Data!L290</f>
        <v>0</v>
      </c>
      <c r="L290" s="21" t="str">
        <f>IF(Data!N290=0,"",Data!N290)</f>
        <v>Ignition</v>
      </c>
      <c r="M290" s="20" t="b">
        <f>Data!O290</f>
        <v>1</v>
      </c>
      <c r="N290" s="20" t="b">
        <f>Data!P290</f>
        <v>0</v>
      </c>
      <c r="O290" s="20" t="b">
        <f>Data!Q290</f>
        <v>0</v>
      </c>
      <c r="P290" s="20" t="b">
        <f>Data!R290</f>
        <v>0</v>
      </c>
      <c r="Q290" s="20" t="b">
        <f>Data!S290</f>
        <v>0</v>
      </c>
      <c r="R290" s="20" t="b">
        <f>Data!T290</f>
        <v>0</v>
      </c>
      <c r="S290" s="20" t="b">
        <f>Data!U290</f>
        <v>0</v>
      </c>
      <c r="T290" s="20" t="b">
        <f>Data!V290</f>
        <v>0</v>
      </c>
      <c r="U290" s="20" t="b">
        <f>Data!W290</f>
        <v>0</v>
      </c>
      <c r="V290" s="20" t="b">
        <f>Data!X290</f>
        <v>1</v>
      </c>
      <c r="W290" s="20" t="b">
        <f>Data!Y290</f>
        <v>1</v>
      </c>
      <c r="X290" s="20">
        <f>Data!Z290</f>
        <v>0</v>
      </c>
      <c r="Y290" s="22">
        <f>Data!AL290</f>
        <v>0</v>
      </c>
      <c r="Z290" s="20">
        <f>Data!AC290</f>
        <v>0</v>
      </c>
      <c r="AA290" s="20">
        <f>Data!AE290</f>
        <v>0</v>
      </c>
      <c r="AB290" s="20">
        <f>Data!AG290</f>
        <v>0</v>
      </c>
      <c r="AC290" s="20" t="str">
        <f>CONCATENATE(Data!AI290," ",Data!AJ290)</f>
        <v xml:space="preserve"> </v>
      </c>
    </row>
    <row r="291" spans="1:29" ht="15">
      <c r="A291" s="20" t="str">
        <f>Data!A291</f>
        <v>デモ機</v>
      </c>
      <c r="B291" s="20" t="str">
        <f>Data!C291</f>
        <v>Entire Organization</v>
      </c>
      <c r="C291" s="20" t="str">
        <f>IF(Data!E291=0,"",Data!E291)</f>
        <v/>
      </c>
      <c r="D291" s="26">
        <f t="shared" si="4"/>
        <v>42065.901609918983</v>
      </c>
      <c r="E291" s="27">
        <f>Data!F291</f>
        <v>42065.901609918983</v>
      </c>
      <c r="F291" s="20" t="str">
        <f>Data!G291</f>
        <v>EngineStatusRecord</v>
      </c>
      <c r="G291" s="20">
        <f>Data!H291</f>
        <v>0</v>
      </c>
      <c r="H291" s="20">
        <f>Data!I291</f>
        <v>0</v>
      </c>
      <c r="I291" s="20">
        <f>Data!J291</f>
        <v>0</v>
      </c>
      <c r="J291" s="21" t="str">
        <f>IF(Data!K291=0,"",Data!K291)</f>
        <v/>
      </c>
      <c r="K291" s="22">
        <f>Data!L291</f>
        <v>0</v>
      </c>
      <c r="L291" s="21" t="str">
        <f>IF(Data!N291=0,"",Data!N291)</f>
        <v/>
      </c>
      <c r="M291" s="20">
        <f>Data!O291</f>
        <v>0</v>
      </c>
      <c r="N291" s="20">
        <f>Data!P291</f>
        <v>0</v>
      </c>
      <c r="O291" s="20">
        <f>Data!Q291</f>
        <v>0</v>
      </c>
      <c r="P291" s="20">
        <f>Data!R291</f>
        <v>0</v>
      </c>
      <c r="Q291" s="20">
        <f>Data!S291</f>
        <v>0</v>
      </c>
      <c r="R291" s="20">
        <f>Data!T291</f>
        <v>0</v>
      </c>
      <c r="S291" s="20">
        <f>Data!U291</f>
        <v>0</v>
      </c>
      <c r="T291" s="20">
        <f>Data!V291</f>
        <v>0</v>
      </c>
      <c r="U291" s="20">
        <f>Data!W291</f>
        <v>0</v>
      </c>
      <c r="V291" s="20">
        <f>Data!X291</f>
        <v>0</v>
      </c>
      <c r="W291" s="20">
        <f>Data!Y291</f>
        <v>0</v>
      </c>
      <c r="X291" s="20">
        <f>Data!Z291</f>
        <v>0</v>
      </c>
      <c r="Y291" s="22">
        <f>Data!AL291</f>
        <v>0</v>
      </c>
      <c r="Z291" s="20" t="str">
        <f>Data!AC291</f>
        <v>Cranking voltage</v>
      </c>
      <c r="AA291" s="20" t="str">
        <f>Data!AE291</f>
        <v/>
      </c>
      <c r="AB291" s="20">
        <f>Data!AG291</f>
        <v>0</v>
      </c>
      <c r="AC291" s="20" t="str">
        <f>CONCATENATE(Data!AI291," ",Data!AJ291)</f>
        <v>11.64226 V</v>
      </c>
    </row>
    <row r="292" spans="1:29" ht="15">
      <c r="A292" s="20" t="str">
        <f>Data!A292</f>
        <v>デモ機</v>
      </c>
      <c r="B292" s="20" t="str">
        <f>Data!C292</f>
        <v>Entire Organization</v>
      </c>
      <c r="C292" s="20" t="str">
        <f>IF(Data!E292=0,"",Data!E292)</f>
        <v/>
      </c>
      <c r="D292" s="26">
        <f t="shared" si="4"/>
        <v>42065.901620370372</v>
      </c>
      <c r="E292" s="27">
        <f>Data!F292</f>
        <v>42065.901620370372</v>
      </c>
      <c r="F292" s="20" t="str">
        <f>Data!G292</f>
        <v>GpsRecord</v>
      </c>
      <c r="G292" s="20">
        <f>Data!H292</f>
        <v>0</v>
      </c>
      <c r="H292" s="20">
        <f>Data!I292</f>
        <v>139.39483999999999</v>
      </c>
      <c r="I292" s="20">
        <f>Data!J292</f>
        <v>35.585970000000003</v>
      </c>
      <c r="J292" s="21" t="str">
        <f>IF(Data!K292=0,"",Data!K292)</f>
        <v>日本, 〒194-0213 東京都町田市常盤町 町田街道</v>
      </c>
      <c r="K292" s="22">
        <f>Data!L292</f>
        <v>0</v>
      </c>
      <c r="L292" s="21" t="str">
        <f>IF(Data!N292=0,"",Data!N292)</f>
        <v>Next</v>
      </c>
      <c r="M292" s="20" t="b">
        <f>Data!O292</f>
        <v>1</v>
      </c>
      <c r="N292" s="20" t="b">
        <f>Data!P292</f>
        <v>0</v>
      </c>
      <c r="O292" s="20" t="b">
        <f>Data!Q292</f>
        <v>0</v>
      </c>
      <c r="P292" s="20" t="b">
        <f>Data!R292</f>
        <v>0</v>
      </c>
      <c r="Q292" s="20" t="b">
        <f>Data!S292</f>
        <v>0</v>
      </c>
      <c r="R292" s="20" t="b">
        <f>Data!T292</f>
        <v>0</v>
      </c>
      <c r="S292" s="20" t="b">
        <f>Data!U292</f>
        <v>0</v>
      </c>
      <c r="T292" s="20" t="b">
        <f>Data!V292</f>
        <v>0</v>
      </c>
      <c r="U292" s="20" t="b">
        <f>Data!W292</f>
        <v>0</v>
      </c>
      <c r="V292" s="20" t="b">
        <f>Data!X292</f>
        <v>1</v>
      </c>
      <c r="W292" s="20" t="b">
        <f>Data!Y292</f>
        <v>1</v>
      </c>
      <c r="X292" s="20">
        <f>Data!Z292</f>
        <v>0</v>
      </c>
      <c r="Y292" s="22">
        <f>Data!AL292</f>
        <v>0</v>
      </c>
      <c r="Z292" s="20">
        <f>Data!AC292</f>
        <v>0</v>
      </c>
      <c r="AA292" s="20">
        <f>Data!AE292</f>
        <v>0</v>
      </c>
      <c r="AB292" s="20">
        <f>Data!AG292</f>
        <v>0</v>
      </c>
      <c r="AC292" s="20" t="str">
        <f>CONCATENATE(Data!AI292," ",Data!AJ292)</f>
        <v xml:space="preserve"> </v>
      </c>
    </row>
    <row r="293" spans="1:29" ht="15">
      <c r="A293" s="20" t="str">
        <f>Data!A293</f>
        <v>デモ機</v>
      </c>
      <c r="B293" s="20" t="str">
        <f>Data!C293</f>
        <v>Entire Organization</v>
      </c>
      <c r="C293" s="20" t="str">
        <f>IF(Data!E293=0,"",Data!E293)</f>
        <v/>
      </c>
      <c r="D293" s="26">
        <f t="shared" si="4"/>
        <v>42065.901620370372</v>
      </c>
      <c r="E293" s="27">
        <f>Data!F293</f>
        <v>42065.901620370372</v>
      </c>
      <c r="F293" s="20" t="str">
        <f>Data!G293</f>
        <v>DebugRecord</v>
      </c>
      <c r="G293" s="20">
        <f>Data!H293</f>
        <v>0</v>
      </c>
      <c r="H293" s="20">
        <f>Data!I293</f>
        <v>0</v>
      </c>
      <c r="I293" s="20">
        <f>Data!J293</f>
        <v>0</v>
      </c>
      <c r="J293" s="21" t="str">
        <f>IF(Data!K293=0,"",Data!K293)</f>
        <v/>
      </c>
      <c r="K293" s="22">
        <f>Data!L293</f>
        <v>0</v>
      </c>
      <c r="L293" s="21" t="str">
        <f>IF(Data!N293=0,"",Data!N293)</f>
        <v>IntermittentConnectionTestProtocolCanObd</v>
      </c>
      <c r="M293" s="20">
        <f>Data!O293</f>
        <v>0</v>
      </c>
      <c r="N293" s="20">
        <f>Data!P293</f>
        <v>0</v>
      </c>
      <c r="O293" s="20">
        <f>Data!Q293</f>
        <v>0</v>
      </c>
      <c r="P293" s="20">
        <f>Data!R293</f>
        <v>0</v>
      </c>
      <c r="Q293" s="20">
        <f>Data!S293</f>
        <v>0</v>
      </c>
      <c r="R293" s="20">
        <f>Data!T293</f>
        <v>0</v>
      </c>
      <c r="S293" s="20">
        <f>Data!U293</f>
        <v>0</v>
      </c>
      <c r="T293" s="20">
        <f>Data!V293</f>
        <v>0</v>
      </c>
      <c r="U293" s="20">
        <f>Data!W293</f>
        <v>0</v>
      </c>
      <c r="V293" s="20">
        <f>Data!X293</f>
        <v>0</v>
      </c>
      <c r="W293" s="20">
        <f>Data!Y293</f>
        <v>0</v>
      </c>
      <c r="X293" s="20">
        <f>Data!Z293</f>
        <v>0</v>
      </c>
      <c r="Y293" s="22" t="str">
        <f>Data!AL293</f>
        <v>640000000000000000000000000000</v>
      </c>
      <c r="Z293" s="20">
        <f>Data!AC293</f>
        <v>0</v>
      </c>
      <c r="AA293" s="20">
        <f>Data!AE293</f>
        <v>0</v>
      </c>
      <c r="AB293" s="20">
        <f>Data!AG293</f>
        <v>0</v>
      </c>
      <c r="AC293" s="20" t="str">
        <f>CONCATENATE(Data!AI293," ",Data!AJ293)</f>
        <v xml:space="preserve"> </v>
      </c>
    </row>
    <row r="294" spans="1:29" ht="15">
      <c r="A294" s="20" t="str">
        <f>Data!A294</f>
        <v>デモ機</v>
      </c>
      <c r="B294" s="20" t="str">
        <f>Data!C294</f>
        <v>Entire Organization</v>
      </c>
      <c r="C294" s="20" t="str">
        <f>IF(Data!E294=0,"",Data!E294)</f>
        <v/>
      </c>
      <c r="D294" s="26">
        <f t="shared" si="4"/>
        <v>42065.901620717596</v>
      </c>
      <c r="E294" s="27">
        <f>Data!F294</f>
        <v>42065.901620717596</v>
      </c>
      <c r="F294" s="20" t="str">
        <f>Data!G294</f>
        <v>EngineStatusRecord</v>
      </c>
      <c r="G294" s="20">
        <f>Data!H294</f>
        <v>0</v>
      </c>
      <c r="H294" s="20">
        <f>Data!I294</f>
        <v>0</v>
      </c>
      <c r="I294" s="20">
        <f>Data!J294</f>
        <v>0</v>
      </c>
      <c r="J294" s="21" t="str">
        <f>IF(Data!K294=0,"",Data!K294)</f>
        <v/>
      </c>
      <c r="K294" s="22">
        <f>Data!L294</f>
        <v>0</v>
      </c>
      <c r="L294" s="21" t="str">
        <f>IF(Data!N294=0,"",Data!N294)</f>
        <v/>
      </c>
      <c r="M294" s="20">
        <f>Data!O294</f>
        <v>0</v>
      </c>
      <c r="N294" s="20">
        <f>Data!P294</f>
        <v>0</v>
      </c>
      <c r="O294" s="20">
        <f>Data!Q294</f>
        <v>0</v>
      </c>
      <c r="P294" s="20">
        <f>Data!R294</f>
        <v>0</v>
      </c>
      <c r="Q294" s="20">
        <f>Data!S294</f>
        <v>0</v>
      </c>
      <c r="R294" s="20">
        <f>Data!T294</f>
        <v>0</v>
      </c>
      <c r="S294" s="20">
        <f>Data!U294</f>
        <v>0</v>
      </c>
      <c r="T294" s="20">
        <f>Data!V294</f>
        <v>0</v>
      </c>
      <c r="U294" s="20">
        <f>Data!W294</f>
        <v>0</v>
      </c>
      <c r="V294" s="20">
        <f>Data!X294</f>
        <v>0</v>
      </c>
      <c r="W294" s="20">
        <f>Data!Y294</f>
        <v>0</v>
      </c>
      <c r="X294" s="20">
        <f>Data!Z294</f>
        <v>0</v>
      </c>
      <c r="Y294" s="22">
        <f>Data!AL294</f>
        <v>0</v>
      </c>
      <c r="Z294" s="20" t="str">
        <f>Data!AC294</f>
        <v>Engine RPM</v>
      </c>
      <c r="AA294" s="20" t="str">
        <f>Data!AE294</f>
        <v/>
      </c>
      <c r="AB294" s="20">
        <f>Data!AG294</f>
        <v>0</v>
      </c>
      <c r="AC294" s="20" t="str">
        <f>CONCATENATE(Data!AI294," ",Data!AJ294)</f>
        <v>1069.5 RPM</v>
      </c>
    </row>
    <row r="295" spans="1:29" ht="15">
      <c r="A295" s="20" t="str">
        <f>Data!A295</f>
        <v>デモ機</v>
      </c>
      <c r="B295" s="20" t="str">
        <f>Data!C295</f>
        <v>Entire Organization</v>
      </c>
      <c r="C295" s="20" t="str">
        <f>IF(Data!E295=0,"",Data!E295)</f>
        <v/>
      </c>
      <c r="D295" s="26">
        <f t="shared" si="4"/>
        <v>42065.901628472224</v>
      </c>
      <c r="E295" s="27">
        <f>Data!F295</f>
        <v>42065.901628472224</v>
      </c>
      <c r="F295" s="20" t="str">
        <f>Data!G295</f>
        <v>EngineStatusRecord</v>
      </c>
      <c r="G295" s="20">
        <f>Data!H295</f>
        <v>0</v>
      </c>
      <c r="H295" s="20">
        <f>Data!I295</f>
        <v>0</v>
      </c>
      <c r="I295" s="20">
        <f>Data!J295</f>
        <v>0</v>
      </c>
      <c r="J295" s="21" t="str">
        <f>IF(Data!K295=0,"",Data!K295)</f>
        <v/>
      </c>
      <c r="K295" s="22">
        <f>Data!L295</f>
        <v>0</v>
      </c>
      <c r="L295" s="21" t="str">
        <f>IF(Data!N295=0,"",Data!N295)</f>
        <v/>
      </c>
      <c r="M295" s="20">
        <f>Data!O295</f>
        <v>0</v>
      </c>
      <c r="N295" s="20">
        <f>Data!P295</f>
        <v>0</v>
      </c>
      <c r="O295" s="20">
        <f>Data!Q295</f>
        <v>0</v>
      </c>
      <c r="P295" s="20">
        <f>Data!R295</f>
        <v>0</v>
      </c>
      <c r="Q295" s="20">
        <f>Data!S295</f>
        <v>0</v>
      </c>
      <c r="R295" s="20">
        <f>Data!T295</f>
        <v>0</v>
      </c>
      <c r="S295" s="20">
        <f>Data!U295</f>
        <v>0</v>
      </c>
      <c r="T295" s="20">
        <f>Data!V295</f>
        <v>0</v>
      </c>
      <c r="U295" s="20">
        <f>Data!W295</f>
        <v>0</v>
      </c>
      <c r="V295" s="20">
        <f>Data!X295</f>
        <v>0</v>
      </c>
      <c r="W295" s="20">
        <f>Data!Y295</f>
        <v>0</v>
      </c>
      <c r="X295" s="20">
        <f>Data!Z295</f>
        <v>0</v>
      </c>
      <c r="Y295" s="22">
        <f>Data!AL295</f>
        <v>0</v>
      </c>
      <c r="Z295" s="20" t="str">
        <f>Data!AC295</f>
        <v>Telematics device voltage</v>
      </c>
      <c r="AA295" s="20" t="str">
        <f>Data!AE295</f>
        <v/>
      </c>
      <c r="AB295" s="20">
        <f>Data!AG295</f>
        <v>0</v>
      </c>
      <c r="AC295" s="20" t="str">
        <f>CONCATENATE(Data!AI295," ",Data!AJ295)</f>
        <v>12.1066666 V</v>
      </c>
    </row>
    <row r="296" spans="1:29" ht="15">
      <c r="A296" s="20" t="str">
        <f>Data!A296</f>
        <v>デモ機</v>
      </c>
      <c r="B296" s="20" t="str">
        <f>Data!C296</f>
        <v>Entire Organization</v>
      </c>
      <c r="C296" s="20" t="str">
        <f>IF(Data!E296=0,"",Data!E296)</f>
        <v/>
      </c>
      <c r="D296" s="26">
        <f t="shared" si="4"/>
        <v>42065.901637731484</v>
      </c>
      <c r="E296" s="27">
        <f>Data!F296</f>
        <v>42065.901637731484</v>
      </c>
      <c r="F296" s="20" t="str">
        <f>Data!G296</f>
        <v>EngineStatusRecord</v>
      </c>
      <c r="G296" s="20">
        <f>Data!H296</f>
        <v>0</v>
      </c>
      <c r="H296" s="20">
        <f>Data!I296</f>
        <v>0</v>
      </c>
      <c r="I296" s="20">
        <f>Data!J296</f>
        <v>0</v>
      </c>
      <c r="J296" s="21" t="str">
        <f>IF(Data!K296=0,"",Data!K296)</f>
        <v/>
      </c>
      <c r="K296" s="22">
        <f>Data!L296</f>
        <v>0</v>
      </c>
      <c r="L296" s="21" t="str">
        <f>IF(Data!N296=0,"",Data!N296)</f>
        <v/>
      </c>
      <c r="M296" s="20">
        <f>Data!O296</f>
        <v>0</v>
      </c>
      <c r="N296" s="20">
        <f>Data!P296</f>
        <v>0</v>
      </c>
      <c r="O296" s="20">
        <f>Data!Q296</f>
        <v>0</v>
      </c>
      <c r="P296" s="20">
        <f>Data!R296</f>
        <v>0</v>
      </c>
      <c r="Q296" s="20">
        <f>Data!S296</f>
        <v>0</v>
      </c>
      <c r="R296" s="20">
        <f>Data!T296</f>
        <v>0</v>
      </c>
      <c r="S296" s="20">
        <f>Data!U296</f>
        <v>0</v>
      </c>
      <c r="T296" s="20">
        <f>Data!V296</f>
        <v>0</v>
      </c>
      <c r="U296" s="20">
        <f>Data!W296</f>
        <v>0</v>
      </c>
      <c r="V296" s="20">
        <f>Data!X296</f>
        <v>0</v>
      </c>
      <c r="W296" s="20">
        <f>Data!Y296</f>
        <v>0</v>
      </c>
      <c r="X296" s="20">
        <f>Data!Z296</f>
        <v>0</v>
      </c>
      <c r="Y296" s="22">
        <f>Data!AL296</f>
        <v>0</v>
      </c>
      <c r="Z296" s="20" t="str">
        <f>Data!AC296</f>
        <v>Cranking voltage</v>
      </c>
      <c r="AA296" s="20" t="str">
        <f>Data!AE296</f>
        <v/>
      </c>
      <c r="AB296" s="20">
        <f>Data!AG296</f>
        <v>0</v>
      </c>
      <c r="AC296" s="20" t="str">
        <f>CONCATENATE(Data!AI296," ",Data!AJ296)</f>
        <v>12.32208 V</v>
      </c>
    </row>
    <row r="297" spans="1:29" ht="15">
      <c r="A297" s="20" t="str">
        <f>Data!A297</f>
        <v>デモ機</v>
      </c>
      <c r="B297" s="20" t="str">
        <f>Data!C297</f>
        <v>Entire Organization</v>
      </c>
      <c r="C297" s="20" t="str">
        <f>IF(Data!E297=0,"",Data!E297)</f>
        <v/>
      </c>
      <c r="D297" s="26">
        <f t="shared" si="4"/>
        <v>42065.901643518519</v>
      </c>
      <c r="E297" s="27">
        <f>Data!F297</f>
        <v>42065.901643518519</v>
      </c>
      <c r="F297" s="20" t="str">
        <f>Data!G297</f>
        <v>DebugRecord</v>
      </c>
      <c r="G297" s="20">
        <f>Data!H297</f>
        <v>0</v>
      </c>
      <c r="H297" s="20">
        <f>Data!I297</f>
        <v>0</v>
      </c>
      <c r="I297" s="20">
        <f>Data!J297</f>
        <v>0</v>
      </c>
      <c r="J297" s="21" t="str">
        <f>IF(Data!K297=0,"",Data!K297)</f>
        <v/>
      </c>
      <c r="K297" s="22">
        <f>Data!L297</f>
        <v>0</v>
      </c>
      <c r="L297" s="21" t="str">
        <f>IF(Data!N297=0,"",Data!N297)</f>
        <v>IntermittentConnectionTestProtocolCanObd</v>
      </c>
      <c r="M297" s="20">
        <f>Data!O297</f>
        <v>0</v>
      </c>
      <c r="N297" s="20">
        <f>Data!P297</f>
        <v>0</v>
      </c>
      <c r="O297" s="20">
        <f>Data!Q297</f>
        <v>0</v>
      </c>
      <c r="P297" s="20">
        <f>Data!R297</f>
        <v>0</v>
      </c>
      <c r="Q297" s="20">
        <f>Data!S297</f>
        <v>0</v>
      </c>
      <c r="R297" s="20">
        <f>Data!T297</f>
        <v>0</v>
      </c>
      <c r="S297" s="20">
        <f>Data!U297</f>
        <v>0</v>
      </c>
      <c r="T297" s="20">
        <f>Data!V297</f>
        <v>0</v>
      </c>
      <c r="U297" s="20">
        <f>Data!W297</f>
        <v>0</v>
      </c>
      <c r="V297" s="20">
        <f>Data!X297</f>
        <v>0</v>
      </c>
      <c r="W297" s="20">
        <f>Data!Y297</f>
        <v>0</v>
      </c>
      <c r="X297" s="20">
        <f>Data!Z297</f>
        <v>0</v>
      </c>
      <c r="Y297" s="22" t="str">
        <f>Data!AL297</f>
        <v>640000000000000000000000000000</v>
      </c>
      <c r="Z297" s="20">
        <f>Data!AC297</f>
        <v>0</v>
      </c>
      <c r="AA297" s="20">
        <f>Data!AE297</f>
        <v>0</v>
      </c>
      <c r="AB297" s="20">
        <f>Data!AG297</f>
        <v>0</v>
      </c>
      <c r="AC297" s="20" t="str">
        <f>CONCATENATE(Data!AI297," ",Data!AJ297)</f>
        <v xml:space="preserve"> </v>
      </c>
    </row>
    <row r="298" spans="1:29" ht="15">
      <c r="A298" s="20" t="str">
        <f>Data!A298</f>
        <v>デモ機</v>
      </c>
      <c r="B298" s="20" t="str">
        <f>Data!C298</f>
        <v>Entire Organization</v>
      </c>
      <c r="C298" s="20" t="str">
        <f>IF(Data!E298=0,"",Data!E298)</f>
        <v/>
      </c>
      <c r="D298" s="26">
        <f t="shared" si="4"/>
        <v>42065.901646956016</v>
      </c>
      <c r="E298" s="27">
        <f>Data!F298</f>
        <v>42065.901646956016</v>
      </c>
      <c r="F298" s="20" t="str">
        <f>Data!G298</f>
        <v>EngineStatusRecord</v>
      </c>
      <c r="G298" s="20">
        <f>Data!H298</f>
        <v>0</v>
      </c>
      <c r="H298" s="20">
        <f>Data!I298</f>
        <v>0</v>
      </c>
      <c r="I298" s="20">
        <f>Data!J298</f>
        <v>0</v>
      </c>
      <c r="J298" s="21" t="str">
        <f>IF(Data!K298=0,"",Data!K298)</f>
        <v/>
      </c>
      <c r="K298" s="22">
        <f>Data!L298</f>
        <v>0</v>
      </c>
      <c r="L298" s="21" t="str">
        <f>IF(Data!N298=0,"",Data!N298)</f>
        <v/>
      </c>
      <c r="M298" s="20">
        <f>Data!O298</f>
        <v>0</v>
      </c>
      <c r="N298" s="20">
        <f>Data!P298</f>
        <v>0</v>
      </c>
      <c r="O298" s="20">
        <f>Data!Q298</f>
        <v>0</v>
      </c>
      <c r="P298" s="20">
        <f>Data!R298</f>
        <v>0</v>
      </c>
      <c r="Q298" s="20">
        <f>Data!S298</f>
        <v>0</v>
      </c>
      <c r="R298" s="20">
        <f>Data!T298</f>
        <v>0</v>
      </c>
      <c r="S298" s="20">
        <f>Data!U298</f>
        <v>0</v>
      </c>
      <c r="T298" s="20">
        <f>Data!V298</f>
        <v>0</v>
      </c>
      <c r="U298" s="20">
        <f>Data!W298</f>
        <v>0</v>
      </c>
      <c r="V298" s="20">
        <f>Data!X298</f>
        <v>0</v>
      </c>
      <c r="W298" s="20">
        <f>Data!Y298</f>
        <v>0</v>
      </c>
      <c r="X298" s="20">
        <f>Data!Z298</f>
        <v>0</v>
      </c>
      <c r="Y298" s="22">
        <f>Data!AL298</f>
        <v>0</v>
      </c>
      <c r="Z298" s="20" t="str">
        <f>Data!AC298</f>
        <v>Cranking voltage</v>
      </c>
      <c r="AA298" s="20" t="str">
        <f>Data!AE298</f>
        <v/>
      </c>
      <c r="AB298" s="20">
        <f>Data!AG298</f>
        <v>0</v>
      </c>
      <c r="AC298" s="20" t="str">
        <f>CONCATENATE(Data!AI298," ",Data!AJ298)</f>
        <v>12.85878 V</v>
      </c>
    </row>
    <row r="299" spans="1:29" ht="15">
      <c r="A299" s="20" t="str">
        <f>Data!A299</f>
        <v>デモ機</v>
      </c>
      <c r="B299" s="20" t="str">
        <f>Data!C299</f>
        <v>Entire Organization</v>
      </c>
      <c r="C299" s="20" t="str">
        <f>IF(Data!E299=0,"",Data!E299)</f>
        <v/>
      </c>
      <c r="D299" s="26">
        <f t="shared" si="4"/>
        <v>42065.901652743058</v>
      </c>
      <c r="E299" s="27">
        <f>Data!F299</f>
        <v>42065.901652743058</v>
      </c>
      <c r="F299" s="20" t="str">
        <f>Data!G299</f>
        <v>EngineStatusRecord</v>
      </c>
      <c r="G299" s="20">
        <f>Data!H299</f>
        <v>0</v>
      </c>
      <c r="H299" s="20">
        <f>Data!I299</f>
        <v>0</v>
      </c>
      <c r="I299" s="20">
        <f>Data!J299</f>
        <v>0</v>
      </c>
      <c r="J299" s="21" t="str">
        <f>IF(Data!K299=0,"",Data!K299)</f>
        <v/>
      </c>
      <c r="K299" s="22">
        <f>Data!L299</f>
        <v>0</v>
      </c>
      <c r="L299" s="21" t="str">
        <f>IF(Data!N299=0,"",Data!N299)</f>
        <v/>
      </c>
      <c r="M299" s="20">
        <f>Data!O299</f>
        <v>0</v>
      </c>
      <c r="N299" s="20">
        <f>Data!P299</f>
        <v>0</v>
      </c>
      <c r="O299" s="20">
        <f>Data!Q299</f>
        <v>0</v>
      </c>
      <c r="P299" s="20">
        <f>Data!R299</f>
        <v>0</v>
      </c>
      <c r="Q299" s="20">
        <f>Data!S299</f>
        <v>0</v>
      </c>
      <c r="R299" s="20">
        <f>Data!T299</f>
        <v>0</v>
      </c>
      <c r="S299" s="20">
        <f>Data!U299</f>
        <v>0</v>
      </c>
      <c r="T299" s="20">
        <f>Data!V299</f>
        <v>0</v>
      </c>
      <c r="U299" s="20">
        <f>Data!W299</f>
        <v>0</v>
      </c>
      <c r="V299" s="20">
        <f>Data!X299</f>
        <v>0</v>
      </c>
      <c r="W299" s="20">
        <f>Data!Y299</f>
        <v>0</v>
      </c>
      <c r="X299" s="20">
        <f>Data!Z299</f>
        <v>0</v>
      </c>
      <c r="Y299" s="22">
        <f>Data!AL299</f>
        <v>0</v>
      </c>
      <c r="Z299" s="20" t="str">
        <f>Data!AC299</f>
        <v>Cranking voltage</v>
      </c>
      <c r="AA299" s="20" t="str">
        <f>Data!AE299</f>
        <v/>
      </c>
      <c r="AB299" s="20">
        <f>Data!AG299</f>
        <v>0</v>
      </c>
      <c r="AC299" s="20" t="str">
        <f>CONCATENATE(Data!AI299," ",Data!AJ299)</f>
        <v>12.93034 V</v>
      </c>
    </row>
    <row r="300" spans="1:29" ht="15">
      <c r="A300" s="20" t="str">
        <f>Data!A300</f>
        <v>デモ機</v>
      </c>
      <c r="B300" s="20" t="str">
        <f>Data!C300</f>
        <v>Entire Organization</v>
      </c>
      <c r="C300" s="20" t="str">
        <f>IF(Data!E300=0,"",Data!E300)</f>
        <v/>
      </c>
      <c r="D300" s="26">
        <f t="shared" si="4"/>
        <v>42065.901656215276</v>
      </c>
      <c r="E300" s="27">
        <f>Data!F300</f>
        <v>42065.901656215276</v>
      </c>
      <c r="F300" s="20" t="str">
        <f>Data!G300</f>
        <v>EngineStatusRecord</v>
      </c>
      <c r="G300" s="20">
        <f>Data!H300</f>
        <v>0</v>
      </c>
      <c r="H300" s="20">
        <f>Data!I300</f>
        <v>0</v>
      </c>
      <c r="I300" s="20">
        <f>Data!J300</f>
        <v>0</v>
      </c>
      <c r="J300" s="21" t="str">
        <f>IF(Data!K300=0,"",Data!K300)</f>
        <v/>
      </c>
      <c r="K300" s="22">
        <f>Data!L300</f>
        <v>0</v>
      </c>
      <c r="L300" s="21" t="str">
        <f>IF(Data!N300=0,"",Data!N300)</f>
        <v/>
      </c>
      <c r="M300" s="20">
        <f>Data!O300</f>
        <v>0</v>
      </c>
      <c r="N300" s="20">
        <f>Data!P300</f>
        <v>0</v>
      </c>
      <c r="O300" s="20">
        <f>Data!Q300</f>
        <v>0</v>
      </c>
      <c r="P300" s="20">
        <f>Data!R300</f>
        <v>0</v>
      </c>
      <c r="Q300" s="20">
        <f>Data!S300</f>
        <v>0</v>
      </c>
      <c r="R300" s="20">
        <f>Data!T300</f>
        <v>0</v>
      </c>
      <c r="S300" s="20">
        <f>Data!U300</f>
        <v>0</v>
      </c>
      <c r="T300" s="20">
        <f>Data!V300</f>
        <v>0</v>
      </c>
      <c r="U300" s="20">
        <f>Data!W300</f>
        <v>0</v>
      </c>
      <c r="V300" s="20">
        <f>Data!X300</f>
        <v>0</v>
      </c>
      <c r="W300" s="20">
        <f>Data!Y300</f>
        <v>0</v>
      </c>
      <c r="X300" s="20">
        <f>Data!Z300</f>
        <v>0</v>
      </c>
      <c r="Y300" s="22">
        <f>Data!AL300</f>
        <v>0</v>
      </c>
      <c r="Z300" s="20" t="str">
        <f>Data!AC300</f>
        <v>Cranking voltage</v>
      </c>
      <c r="AA300" s="20" t="str">
        <f>Data!AE300</f>
        <v/>
      </c>
      <c r="AB300" s="20">
        <f>Data!AG300</f>
        <v>0</v>
      </c>
      <c r="AC300" s="20" t="str">
        <f>CONCATENATE(Data!AI300," ",Data!AJ300)</f>
        <v>12.21474 V</v>
      </c>
    </row>
    <row r="301" spans="1:29" ht="15">
      <c r="A301" s="20" t="str">
        <f>Data!A301</f>
        <v>デモ機</v>
      </c>
      <c r="B301" s="20" t="str">
        <f>Data!C301</f>
        <v>Entire Organization</v>
      </c>
      <c r="C301" s="20" t="str">
        <f>IF(Data!E301=0,"",Data!E301)</f>
        <v/>
      </c>
      <c r="D301" s="26">
        <f t="shared" si="4"/>
        <v>42065.901665474536</v>
      </c>
      <c r="E301" s="27">
        <f>Data!F301</f>
        <v>42065.901665474536</v>
      </c>
      <c r="F301" s="20" t="str">
        <f>Data!G301</f>
        <v>EngineStatusRecord</v>
      </c>
      <c r="G301" s="20">
        <f>Data!H301</f>
        <v>0</v>
      </c>
      <c r="H301" s="20">
        <f>Data!I301</f>
        <v>0</v>
      </c>
      <c r="I301" s="20">
        <f>Data!J301</f>
        <v>0</v>
      </c>
      <c r="J301" s="21" t="str">
        <f>IF(Data!K301=0,"",Data!K301)</f>
        <v/>
      </c>
      <c r="K301" s="22">
        <f>Data!L301</f>
        <v>0</v>
      </c>
      <c r="L301" s="21" t="str">
        <f>IF(Data!N301=0,"",Data!N301)</f>
        <v/>
      </c>
      <c r="M301" s="20">
        <f>Data!O301</f>
        <v>0</v>
      </c>
      <c r="N301" s="20">
        <f>Data!P301</f>
        <v>0</v>
      </c>
      <c r="O301" s="20">
        <f>Data!Q301</f>
        <v>0</v>
      </c>
      <c r="P301" s="20">
        <f>Data!R301</f>
        <v>0</v>
      </c>
      <c r="Q301" s="20">
        <f>Data!S301</f>
        <v>0</v>
      </c>
      <c r="R301" s="20">
        <f>Data!T301</f>
        <v>0</v>
      </c>
      <c r="S301" s="20">
        <f>Data!U301</f>
        <v>0</v>
      </c>
      <c r="T301" s="20">
        <f>Data!V301</f>
        <v>0</v>
      </c>
      <c r="U301" s="20">
        <f>Data!W301</f>
        <v>0</v>
      </c>
      <c r="V301" s="20">
        <f>Data!X301</f>
        <v>0</v>
      </c>
      <c r="W301" s="20">
        <f>Data!Y301</f>
        <v>0</v>
      </c>
      <c r="X301" s="20">
        <f>Data!Z301</f>
        <v>0</v>
      </c>
      <c r="Y301" s="22">
        <f>Data!AL301</f>
        <v>0</v>
      </c>
      <c r="Z301" s="20" t="str">
        <f>Data!AC301</f>
        <v>Cranking voltage</v>
      </c>
      <c r="AA301" s="20" t="str">
        <f>Data!AE301</f>
        <v/>
      </c>
      <c r="AB301" s="20">
        <f>Data!AG301</f>
        <v>0</v>
      </c>
      <c r="AC301" s="20" t="str">
        <f>CONCATENATE(Data!AI301," ",Data!AJ301)</f>
        <v>12.89456 V</v>
      </c>
    </row>
    <row r="302" spans="1:29" ht="15">
      <c r="A302" s="20" t="str">
        <f>Data!A302</f>
        <v>デモ機</v>
      </c>
      <c r="B302" s="20" t="str">
        <f>Data!C302</f>
        <v>Entire Organization</v>
      </c>
      <c r="C302" s="20" t="str">
        <f>IF(Data!E302=0,"",Data!E302)</f>
        <v/>
      </c>
      <c r="D302" s="26">
        <f t="shared" si="4"/>
        <v>42065.901724687501</v>
      </c>
      <c r="E302" s="27">
        <f>Data!F302</f>
        <v>42065.901724687501</v>
      </c>
      <c r="F302" s="20" t="str">
        <f>Data!G302</f>
        <v>DebugRecord</v>
      </c>
      <c r="G302" s="20">
        <f>Data!H302</f>
        <v>0</v>
      </c>
      <c r="H302" s="20">
        <f>Data!I302</f>
        <v>0</v>
      </c>
      <c r="I302" s="20">
        <f>Data!J302</f>
        <v>0</v>
      </c>
      <c r="J302" s="21" t="str">
        <f>IF(Data!K302=0,"",Data!K302)</f>
        <v/>
      </c>
      <c r="K302" s="22">
        <f>Data!L302</f>
        <v>0</v>
      </c>
      <c r="L302" s="21" t="str">
        <f>IF(Data!N302=0,"",Data!N302)</f>
        <v>CanBusStatusAtIgnitionOn</v>
      </c>
      <c r="M302" s="20">
        <f>Data!O302</f>
        <v>0</v>
      </c>
      <c r="N302" s="20">
        <f>Data!P302</f>
        <v>0</v>
      </c>
      <c r="O302" s="20">
        <f>Data!Q302</f>
        <v>0</v>
      </c>
      <c r="P302" s="20">
        <f>Data!R302</f>
        <v>0</v>
      </c>
      <c r="Q302" s="20">
        <f>Data!S302</f>
        <v>0</v>
      </c>
      <c r="R302" s="20">
        <f>Data!T302</f>
        <v>0</v>
      </c>
      <c r="S302" s="20">
        <f>Data!U302</f>
        <v>0</v>
      </c>
      <c r="T302" s="20">
        <f>Data!V302</f>
        <v>0</v>
      </c>
      <c r="U302" s="20">
        <f>Data!W302</f>
        <v>0</v>
      </c>
      <c r="V302" s="20">
        <f>Data!X302</f>
        <v>0</v>
      </c>
      <c r="W302" s="20">
        <f>Data!Y302</f>
        <v>0</v>
      </c>
      <c r="X302" s="20">
        <f>Data!Z302</f>
        <v>0</v>
      </c>
      <c r="Y302" s="22" t="str">
        <f>Data!AL302</f>
        <v>000000000000000000000000000000</v>
      </c>
      <c r="Z302" s="20">
        <f>Data!AC302</f>
        <v>0</v>
      </c>
      <c r="AA302" s="20">
        <f>Data!AE302</f>
        <v>0</v>
      </c>
      <c r="AB302" s="20">
        <f>Data!AG302</f>
        <v>0</v>
      </c>
      <c r="AC302" s="20" t="str">
        <f>CONCATENATE(Data!AI302," ",Data!AJ302)</f>
        <v xml:space="preserve"> </v>
      </c>
    </row>
    <row r="303" spans="1:29" ht="15">
      <c r="A303" s="20" t="str">
        <f>Data!A303</f>
        <v>デモ機</v>
      </c>
      <c r="B303" s="20" t="str">
        <f>Data!C303</f>
        <v>Entire Organization</v>
      </c>
      <c r="C303" s="20" t="str">
        <f>IF(Data!E303=0,"",Data!E303)</f>
        <v/>
      </c>
      <c r="D303" s="26">
        <f t="shared" si="4"/>
        <v>42065.901744212963</v>
      </c>
      <c r="E303" s="27">
        <f>Data!F303</f>
        <v>42065.901744212963</v>
      </c>
      <c r="F303" s="20" t="str">
        <f>Data!G303</f>
        <v>EngineStatusRecord</v>
      </c>
      <c r="G303" s="20">
        <f>Data!H303</f>
        <v>0</v>
      </c>
      <c r="H303" s="20">
        <f>Data!I303</f>
        <v>0</v>
      </c>
      <c r="I303" s="20">
        <f>Data!J303</f>
        <v>0</v>
      </c>
      <c r="J303" s="21" t="str">
        <f>IF(Data!K303=0,"",Data!K303)</f>
        <v/>
      </c>
      <c r="K303" s="22">
        <f>Data!L303</f>
        <v>0</v>
      </c>
      <c r="L303" s="21" t="str">
        <f>IF(Data!N303=0,"",Data!N303)</f>
        <v/>
      </c>
      <c r="M303" s="20">
        <f>Data!O303</f>
        <v>0</v>
      </c>
      <c r="N303" s="20">
        <f>Data!P303</f>
        <v>0</v>
      </c>
      <c r="O303" s="20">
        <f>Data!Q303</f>
        <v>0</v>
      </c>
      <c r="P303" s="20">
        <f>Data!R303</f>
        <v>0</v>
      </c>
      <c r="Q303" s="20">
        <f>Data!S303</f>
        <v>0</v>
      </c>
      <c r="R303" s="20">
        <f>Data!T303</f>
        <v>0</v>
      </c>
      <c r="S303" s="20">
        <f>Data!U303</f>
        <v>0</v>
      </c>
      <c r="T303" s="20">
        <f>Data!V303</f>
        <v>0</v>
      </c>
      <c r="U303" s="20">
        <f>Data!W303</f>
        <v>0</v>
      </c>
      <c r="V303" s="20">
        <f>Data!X303</f>
        <v>0</v>
      </c>
      <c r="W303" s="20">
        <f>Data!Y303</f>
        <v>0</v>
      </c>
      <c r="X303" s="20">
        <f>Data!Z303</f>
        <v>0</v>
      </c>
      <c r="Y303" s="22">
        <f>Data!AL303</f>
        <v>0</v>
      </c>
      <c r="Z303" s="20" t="str">
        <f>Data!AC303</f>
        <v>Telematics device voltage</v>
      </c>
      <c r="AA303" s="20" t="str">
        <f>Data!AE303</f>
        <v/>
      </c>
      <c r="AB303" s="20">
        <f>Data!AG303</f>
        <v>0</v>
      </c>
      <c r="AC303" s="20" t="str">
        <f>CONCATENATE(Data!AI303," ",Data!AJ303)</f>
        <v>13.2873335 V</v>
      </c>
    </row>
    <row r="304" spans="1:29" ht="15">
      <c r="A304" s="20" t="str">
        <f>Data!A304</f>
        <v>デモ機</v>
      </c>
      <c r="B304" s="20" t="str">
        <f>Data!C304</f>
        <v>Entire Organization</v>
      </c>
      <c r="C304" s="20" t="str">
        <f>IF(Data!E304=0,"",Data!E304)</f>
        <v/>
      </c>
      <c r="D304" s="26">
        <f t="shared" si="4"/>
        <v>42065.901832986114</v>
      </c>
      <c r="E304" s="27">
        <f>Data!F304</f>
        <v>42065.901832986114</v>
      </c>
      <c r="F304" s="20" t="str">
        <f>Data!G304</f>
        <v>DebugRecord</v>
      </c>
      <c r="G304" s="20">
        <f>Data!H304</f>
        <v>0</v>
      </c>
      <c r="H304" s="20">
        <f>Data!I304</f>
        <v>0</v>
      </c>
      <c r="I304" s="20">
        <f>Data!J304</f>
        <v>0</v>
      </c>
      <c r="J304" s="21" t="str">
        <f>IF(Data!K304=0,"",Data!K304)</f>
        <v/>
      </c>
      <c r="K304" s="22">
        <f>Data!L304</f>
        <v>0</v>
      </c>
      <c r="L304" s="21" t="str">
        <f>IF(Data!N304=0,"",Data!N304)</f>
        <v>ModemNetworkApn</v>
      </c>
      <c r="M304" s="20">
        <f>Data!O304</f>
        <v>0</v>
      </c>
      <c r="N304" s="20">
        <f>Data!P304</f>
        <v>0</v>
      </c>
      <c r="O304" s="20">
        <f>Data!Q304</f>
        <v>0</v>
      </c>
      <c r="P304" s="20">
        <f>Data!R304</f>
        <v>0</v>
      </c>
      <c r="Q304" s="20">
        <f>Data!S304</f>
        <v>0</v>
      </c>
      <c r="R304" s="20">
        <f>Data!T304</f>
        <v>0</v>
      </c>
      <c r="S304" s="20">
        <f>Data!U304</f>
        <v>0</v>
      </c>
      <c r="T304" s="20">
        <f>Data!V304</f>
        <v>0</v>
      </c>
      <c r="U304" s="20">
        <f>Data!W304</f>
        <v>0</v>
      </c>
      <c r="V304" s="20">
        <f>Data!X304</f>
        <v>0</v>
      </c>
      <c r="W304" s="20">
        <f>Data!Y304</f>
        <v>0</v>
      </c>
      <c r="X304" s="20">
        <f>Data!Z304</f>
        <v>0</v>
      </c>
      <c r="Y304" s="22" t="str">
        <f>Data!AL304</f>
        <v>696E7465726E650000000000000000</v>
      </c>
      <c r="Z304" s="20">
        <f>Data!AC304</f>
        <v>0</v>
      </c>
      <c r="AA304" s="20">
        <f>Data!AE304</f>
        <v>0</v>
      </c>
      <c r="AB304" s="20">
        <f>Data!AG304</f>
        <v>0</v>
      </c>
      <c r="AC304" s="20" t="str">
        <f>CONCATENATE(Data!AI304," ",Data!AJ304)</f>
        <v xml:space="preserve"> </v>
      </c>
    </row>
    <row r="305" spans="1:29" ht="15">
      <c r="A305" s="20" t="str">
        <f>Data!A305</f>
        <v>デモ機</v>
      </c>
      <c r="B305" s="20" t="str">
        <f>Data!C305</f>
        <v>Entire Organization</v>
      </c>
      <c r="C305" s="20" t="str">
        <f>IF(Data!E305=0,"",Data!E305)</f>
        <v/>
      </c>
      <c r="D305" s="26">
        <f t="shared" si="4"/>
        <v>42065.901834027776</v>
      </c>
      <c r="E305" s="27">
        <f>Data!F305</f>
        <v>42065.901834027776</v>
      </c>
      <c r="F305" s="20" t="str">
        <f>Data!G305</f>
        <v>EngineStatusRecord</v>
      </c>
      <c r="G305" s="20">
        <f>Data!H305</f>
        <v>0</v>
      </c>
      <c r="H305" s="20">
        <f>Data!I305</f>
        <v>0</v>
      </c>
      <c r="I305" s="20">
        <f>Data!J305</f>
        <v>0</v>
      </c>
      <c r="J305" s="21" t="str">
        <f>IF(Data!K305=0,"",Data!K305)</f>
        <v/>
      </c>
      <c r="K305" s="22">
        <f>Data!L305</f>
        <v>0</v>
      </c>
      <c r="L305" s="21" t="str">
        <f>IF(Data!N305=0,"",Data!N305)</f>
        <v/>
      </c>
      <c r="M305" s="20">
        <f>Data!O305</f>
        <v>0</v>
      </c>
      <c r="N305" s="20">
        <f>Data!P305</f>
        <v>0</v>
      </c>
      <c r="O305" s="20">
        <f>Data!Q305</f>
        <v>0</v>
      </c>
      <c r="P305" s="20">
        <f>Data!R305</f>
        <v>0</v>
      </c>
      <c r="Q305" s="20">
        <f>Data!S305</f>
        <v>0</v>
      </c>
      <c r="R305" s="20">
        <f>Data!T305</f>
        <v>0</v>
      </c>
      <c r="S305" s="20">
        <f>Data!U305</f>
        <v>0</v>
      </c>
      <c r="T305" s="20">
        <f>Data!V305</f>
        <v>0</v>
      </c>
      <c r="U305" s="20">
        <f>Data!W305</f>
        <v>0</v>
      </c>
      <c r="V305" s="20">
        <f>Data!X305</f>
        <v>0</v>
      </c>
      <c r="W305" s="20">
        <f>Data!Y305</f>
        <v>0</v>
      </c>
      <c r="X305" s="20">
        <f>Data!Z305</f>
        <v>0</v>
      </c>
      <c r="Y305" s="22">
        <f>Data!AL305</f>
        <v>0</v>
      </c>
      <c r="Z305" s="20" t="str">
        <f>Data!AC305</f>
        <v>Engine coolant temperature</v>
      </c>
      <c r="AA305" s="20" t="str">
        <f>Data!AE305</f>
        <v/>
      </c>
      <c r="AB305" s="20">
        <f>Data!AG305</f>
        <v>0</v>
      </c>
      <c r="AC305" s="20" t="str">
        <f>CONCATENATE(Data!AI305," ",Data!AJ305)</f>
        <v>48 C</v>
      </c>
    </row>
    <row r="306" spans="1:29" ht="15">
      <c r="A306" s="20" t="str">
        <f>Data!A306</f>
        <v>デモ機</v>
      </c>
      <c r="B306" s="20" t="str">
        <f>Data!C306</f>
        <v>Entire Organization</v>
      </c>
      <c r="C306" s="20" t="str">
        <f>IF(Data!E306=0,"",Data!E306)</f>
        <v/>
      </c>
      <c r="D306" s="26">
        <f t="shared" si="4"/>
        <v>42065.901834525466</v>
      </c>
      <c r="E306" s="27">
        <f>Data!F306</f>
        <v>42065.901834525466</v>
      </c>
      <c r="F306" s="20" t="str">
        <f>Data!G306</f>
        <v>DebugRecord</v>
      </c>
      <c r="G306" s="20">
        <f>Data!H306</f>
        <v>0</v>
      </c>
      <c r="H306" s="20">
        <f>Data!I306</f>
        <v>0</v>
      </c>
      <c r="I306" s="20">
        <f>Data!J306</f>
        <v>0</v>
      </c>
      <c r="J306" s="21" t="str">
        <f>IF(Data!K306=0,"",Data!K306)</f>
        <v/>
      </c>
      <c r="K306" s="22">
        <f>Data!L306</f>
        <v>0</v>
      </c>
      <c r="L306" s="21" t="str">
        <f>IF(Data!N306=0,"",Data!N306)</f>
        <v>MultilineResponseTimeout</v>
      </c>
      <c r="M306" s="20">
        <f>Data!O306</f>
        <v>0</v>
      </c>
      <c r="N306" s="20">
        <f>Data!P306</f>
        <v>0</v>
      </c>
      <c r="O306" s="20">
        <f>Data!Q306</f>
        <v>0</v>
      </c>
      <c r="P306" s="20">
        <f>Data!R306</f>
        <v>0</v>
      </c>
      <c r="Q306" s="20">
        <f>Data!S306</f>
        <v>0</v>
      </c>
      <c r="R306" s="20">
        <f>Data!T306</f>
        <v>0</v>
      </c>
      <c r="S306" s="20">
        <f>Data!U306</f>
        <v>0</v>
      </c>
      <c r="T306" s="20">
        <f>Data!V306</f>
        <v>0</v>
      </c>
      <c r="U306" s="20">
        <f>Data!W306</f>
        <v>0</v>
      </c>
      <c r="V306" s="20">
        <f>Data!X306</f>
        <v>0</v>
      </c>
      <c r="W306" s="20">
        <f>Data!Y306</f>
        <v>0</v>
      </c>
      <c r="X306" s="20">
        <f>Data!Z306</f>
        <v>0</v>
      </c>
      <c r="Y306" s="22" t="str">
        <f>Data!AL306</f>
        <v>000005000000000000000000000000</v>
      </c>
      <c r="Z306" s="20">
        <f>Data!AC306</f>
        <v>0</v>
      </c>
      <c r="AA306" s="20">
        <f>Data!AE306</f>
        <v>0</v>
      </c>
      <c r="AB306" s="20">
        <f>Data!AG306</f>
        <v>0</v>
      </c>
      <c r="AC306" s="20" t="str">
        <f>CONCATENATE(Data!AI306," ",Data!AJ306)</f>
        <v xml:space="preserve"> </v>
      </c>
    </row>
    <row r="307" spans="1:29" ht="15">
      <c r="A307" s="20" t="str">
        <f>Data!A307</f>
        <v>デモ機</v>
      </c>
      <c r="B307" s="20" t="str">
        <f>Data!C307</f>
        <v>Entire Organization</v>
      </c>
      <c r="C307" s="20" t="str">
        <f>IF(Data!E307=0,"",Data!E307)</f>
        <v/>
      </c>
      <c r="D307" s="26">
        <f t="shared" si="4"/>
        <v>42065.901852581017</v>
      </c>
      <c r="E307" s="27">
        <f>Data!F307</f>
        <v>42065.901852581017</v>
      </c>
      <c r="F307" s="20" t="str">
        <f>Data!G307</f>
        <v>GpsRecord</v>
      </c>
      <c r="G307" s="20">
        <f>Data!H307</f>
        <v>0</v>
      </c>
      <c r="H307" s="20">
        <f>Data!I307</f>
        <v>139.39483999999999</v>
      </c>
      <c r="I307" s="20">
        <f>Data!J307</f>
        <v>35.585970000000003</v>
      </c>
      <c r="J307" s="21" t="str">
        <f>IF(Data!K307=0,"",Data!K307)</f>
        <v>日本, 〒194-0213 東京都町田市常盤町 町田街道</v>
      </c>
      <c r="K307" s="22">
        <f>Data!L307</f>
        <v>0</v>
      </c>
      <c r="L307" s="21" t="str">
        <f>IF(Data!N307=0,"",Data!N307)</f>
        <v>ConnectedToServer</v>
      </c>
      <c r="M307" s="20" t="b">
        <f>Data!O307</f>
        <v>1</v>
      </c>
      <c r="N307" s="20" t="b">
        <f>Data!P307</f>
        <v>0</v>
      </c>
      <c r="O307" s="20" t="b">
        <f>Data!Q307</f>
        <v>0</v>
      </c>
      <c r="P307" s="20" t="b">
        <f>Data!R307</f>
        <v>0</v>
      </c>
      <c r="Q307" s="20" t="b">
        <f>Data!S307</f>
        <v>0</v>
      </c>
      <c r="R307" s="20" t="b">
        <f>Data!T307</f>
        <v>0</v>
      </c>
      <c r="S307" s="20" t="b">
        <f>Data!U307</f>
        <v>0</v>
      </c>
      <c r="T307" s="20" t="b">
        <f>Data!V307</f>
        <v>0</v>
      </c>
      <c r="U307" s="20" t="b">
        <f>Data!W307</f>
        <v>0</v>
      </c>
      <c r="V307" s="20" t="b">
        <f>Data!X307</f>
        <v>1</v>
      </c>
      <c r="W307" s="20" t="b">
        <f>Data!Y307</f>
        <v>1</v>
      </c>
      <c r="X307" s="20">
        <f>Data!Z307</f>
        <v>0</v>
      </c>
      <c r="Y307" s="22">
        <f>Data!AL307</f>
        <v>0</v>
      </c>
      <c r="Z307" s="20">
        <f>Data!AC307</f>
        <v>0</v>
      </c>
      <c r="AA307" s="20">
        <f>Data!AE307</f>
        <v>0</v>
      </c>
      <c r="AB307" s="20">
        <f>Data!AG307</f>
        <v>0</v>
      </c>
      <c r="AC307" s="20" t="str">
        <f>CONCATENATE(Data!AI307," ",Data!AJ307)</f>
        <v xml:space="preserve"> </v>
      </c>
    </row>
    <row r="308" spans="1:29" ht="15">
      <c r="A308" s="20" t="str">
        <f>Data!A308</f>
        <v>デモ機</v>
      </c>
      <c r="B308" s="20" t="str">
        <f>Data!C308</f>
        <v>Entire Organization</v>
      </c>
      <c r="C308" s="20" t="str">
        <f>IF(Data!E308=0,"",Data!E308)</f>
        <v/>
      </c>
      <c r="D308" s="26">
        <f t="shared" si="4"/>
        <v>42065.901852893519</v>
      </c>
      <c r="E308" s="27">
        <f>Data!F308</f>
        <v>42065.901852893519</v>
      </c>
      <c r="F308" s="20" t="str">
        <f>Data!G308</f>
        <v>DebugRecord</v>
      </c>
      <c r="G308" s="20">
        <f>Data!H308</f>
        <v>0</v>
      </c>
      <c r="H308" s="20">
        <f>Data!I308</f>
        <v>0</v>
      </c>
      <c r="I308" s="20">
        <f>Data!J308</f>
        <v>0</v>
      </c>
      <c r="J308" s="21" t="str">
        <f>IF(Data!K308=0,"",Data!K308)</f>
        <v/>
      </c>
      <c r="K308" s="22">
        <f>Data!L308</f>
        <v>0</v>
      </c>
      <c r="L308" s="21" t="str">
        <f>IF(Data!N308=0,"",Data!N308)</f>
        <v>ModemConnectionSuccess</v>
      </c>
      <c r="M308" s="20">
        <f>Data!O308</f>
        <v>0</v>
      </c>
      <c r="N308" s="20">
        <f>Data!P308</f>
        <v>0</v>
      </c>
      <c r="O308" s="20">
        <f>Data!Q308</f>
        <v>0</v>
      </c>
      <c r="P308" s="20">
        <f>Data!R308</f>
        <v>0</v>
      </c>
      <c r="Q308" s="20">
        <f>Data!S308</f>
        <v>0</v>
      </c>
      <c r="R308" s="20">
        <f>Data!T308</f>
        <v>0</v>
      </c>
      <c r="S308" s="20">
        <f>Data!U308</f>
        <v>0</v>
      </c>
      <c r="T308" s="20">
        <f>Data!V308</f>
        <v>0</v>
      </c>
      <c r="U308" s="20">
        <f>Data!W308</f>
        <v>0</v>
      </c>
      <c r="V308" s="20">
        <f>Data!X308</f>
        <v>0</v>
      </c>
      <c r="W308" s="20">
        <f>Data!Y308</f>
        <v>0</v>
      </c>
      <c r="X308" s="20">
        <f>Data!Z308</f>
        <v>0</v>
      </c>
      <c r="Y308" s="22" t="str">
        <f>Data!AL308</f>
        <v>4E545420444F800000000000000000</v>
      </c>
      <c r="Z308" s="20">
        <f>Data!AC308</f>
        <v>0</v>
      </c>
      <c r="AA308" s="20">
        <f>Data!AE308</f>
        <v>0</v>
      </c>
      <c r="AB308" s="20">
        <f>Data!AG308</f>
        <v>0</v>
      </c>
      <c r="AC308" s="20" t="str">
        <f>CONCATENATE(Data!AI308," ",Data!AJ308)</f>
        <v xml:space="preserve"> </v>
      </c>
    </row>
    <row r="309" spans="1:29" ht="15">
      <c r="A309" s="20" t="str">
        <f>Data!A309</f>
        <v>デモ機</v>
      </c>
      <c r="B309" s="20" t="str">
        <f>Data!C309</f>
        <v>Entire Organization</v>
      </c>
      <c r="C309" s="20" t="str">
        <f>IF(Data!E309=0,"",Data!E309)</f>
        <v/>
      </c>
      <c r="D309" s="26">
        <f t="shared" si="4"/>
        <v>42065.901859953701</v>
      </c>
      <c r="E309" s="27">
        <f>Data!F309</f>
        <v>42065.901859953701</v>
      </c>
      <c r="F309" s="20" t="str">
        <f>Data!G309</f>
        <v>EngineStatusRecord</v>
      </c>
      <c r="G309" s="20">
        <f>Data!H309</f>
        <v>0</v>
      </c>
      <c r="H309" s="20">
        <f>Data!I309</f>
        <v>0</v>
      </c>
      <c r="I309" s="20">
        <f>Data!J309</f>
        <v>0</v>
      </c>
      <c r="J309" s="21" t="str">
        <f>IF(Data!K309=0,"",Data!K309)</f>
        <v/>
      </c>
      <c r="K309" s="22">
        <f>Data!L309</f>
        <v>0</v>
      </c>
      <c r="L309" s="21" t="str">
        <f>IF(Data!N309=0,"",Data!N309)</f>
        <v/>
      </c>
      <c r="M309" s="20">
        <f>Data!O309</f>
        <v>0</v>
      </c>
      <c r="N309" s="20">
        <f>Data!P309</f>
        <v>0</v>
      </c>
      <c r="O309" s="20">
        <f>Data!Q309</f>
        <v>0</v>
      </c>
      <c r="P309" s="20">
        <f>Data!R309</f>
        <v>0</v>
      </c>
      <c r="Q309" s="20">
        <f>Data!S309</f>
        <v>0</v>
      </c>
      <c r="R309" s="20">
        <f>Data!T309</f>
        <v>0</v>
      </c>
      <c r="S309" s="20">
        <f>Data!U309</f>
        <v>0</v>
      </c>
      <c r="T309" s="20">
        <f>Data!V309</f>
        <v>0</v>
      </c>
      <c r="U309" s="20">
        <f>Data!W309</f>
        <v>0</v>
      </c>
      <c r="V309" s="20">
        <f>Data!X309</f>
        <v>0</v>
      </c>
      <c r="W309" s="20">
        <f>Data!Y309</f>
        <v>0</v>
      </c>
      <c r="X309" s="20">
        <f>Data!Z309</f>
        <v>0</v>
      </c>
      <c r="Y309" s="22">
        <f>Data!AL309</f>
        <v>0</v>
      </c>
      <c r="Z309" s="20" t="str">
        <f>Data!AC309</f>
        <v>Telematics device voltage</v>
      </c>
      <c r="AA309" s="20" t="str">
        <f>Data!AE309</f>
        <v/>
      </c>
      <c r="AB309" s="20">
        <f>Data!AG309</f>
        <v>0</v>
      </c>
      <c r="AC309" s="20" t="str">
        <f>CONCATENATE(Data!AI309," ",Data!AJ309)</f>
        <v>13.6093321 V</v>
      </c>
    </row>
    <row r="310" spans="1:29" ht="15">
      <c r="A310" s="20" t="str">
        <f>Data!A310</f>
        <v>デモ機</v>
      </c>
      <c r="B310" s="20" t="str">
        <f>Data!C310</f>
        <v>Entire Organization</v>
      </c>
      <c r="C310" s="20" t="str">
        <f>IF(Data!E310=0,"",Data!E310)</f>
        <v/>
      </c>
      <c r="D310" s="26">
        <f t="shared" si="4"/>
        <v>42065.902702777777</v>
      </c>
      <c r="E310" s="27">
        <f>Data!F310</f>
        <v>42065.902702777777</v>
      </c>
      <c r="F310" s="20" t="str">
        <f>Data!G310</f>
        <v>DebugRecord</v>
      </c>
      <c r="G310" s="20">
        <f>Data!H310</f>
        <v>0</v>
      </c>
      <c r="H310" s="20">
        <f>Data!I310</f>
        <v>0</v>
      </c>
      <c r="I310" s="20">
        <f>Data!J310</f>
        <v>0</v>
      </c>
      <c r="J310" s="21" t="str">
        <f>IF(Data!K310=0,"",Data!K310)</f>
        <v/>
      </c>
      <c r="K310" s="22">
        <f>Data!L310</f>
        <v>0</v>
      </c>
      <c r="L310" s="21" t="str">
        <f>IF(Data!N310=0,"",Data!N310)</f>
        <v>DebugInReverseHighSensitivity</v>
      </c>
      <c r="M310" s="20">
        <f>Data!O310</f>
        <v>0</v>
      </c>
      <c r="N310" s="20">
        <f>Data!P310</f>
        <v>0</v>
      </c>
      <c r="O310" s="20">
        <f>Data!Q310</f>
        <v>0</v>
      </c>
      <c r="P310" s="20">
        <f>Data!R310</f>
        <v>0</v>
      </c>
      <c r="Q310" s="20">
        <f>Data!S310</f>
        <v>0</v>
      </c>
      <c r="R310" s="20">
        <f>Data!T310</f>
        <v>0</v>
      </c>
      <c r="S310" s="20">
        <f>Data!U310</f>
        <v>0</v>
      </c>
      <c r="T310" s="20">
        <f>Data!V310</f>
        <v>0</v>
      </c>
      <c r="U310" s="20">
        <f>Data!W310</f>
        <v>0</v>
      </c>
      <c r="V310" s="20">
        <f>Data!X310</f>
        <v>0</v>
      </c>
      <c r="W310" s="20">
        <f>Data!Y310</f>
        <v>0</v>
      </c>
      <c r="X310" s="20">
        <f>Data!Z310</f>
        <v>0</v>
      </c>
      <c r="Y310" s="22" t="str">
        <f>Data!AL310</f>
        <v>0000FDFFCFFF000000000000000000</v>
      </c>
      <c r="Z310" s="20">
        <f>Data!AC310</f>
        <v>0</v>
      </c>
      <c r="AA310" s="20">
        <f>Data!AE310</f>
        <v>0</v>
      </c>
      <c r="AB310" s="20">
        <f>Data!AG310</f>
        <v>0</v>
      </c>
      <c r="AC310" s="20" t="str">
        <f>CONCATENATE(Data!AI310," ",Data!AJ310)</f>
        <v xml:space="preserve"> </v>
      </c>
    </row>
    <row r="311" spans="1:29" ht="15">
      <c r="A311" s="20" t="str">
        <f>Data!A311</f>
        <v>デモ機</v>
      </c>
      <c r="B311" s="20" t="str">
        <f>Data!C311</f>
        <v>Entire Organization</v>
      </c>
      <c r="C311" s="20" t="str">
        <f>IF(Data!E311=0,"",Data!E311)</f>
        <v/>
      </c>
      <c r="D311" s="26">
        <f t="shared" si="4"/>
        <v>42065.902702893516</v>
      </c>
      <c r="E311" s="27">
        <f>Data!F311</f>
        <v>42065.902702893516</v>
      </c>
      <c r="F311" s="20" t="str">
        <f>Data!G311</f>
        <v>EngineStatusRecord</v>
      </c>
      <c r="G311" s="20">
        <f>Data!H311</f>
        <v>0</v>
      </c>
      <c r="H311" s="20">
        <f>Data!I311</f>
        <v>0</v>
      </c>
      <c r="I311" s="20">
        <f>Data!J311</f>
        <v>0</v>
      </c>
      <c r="J311" s="21" t="str">
        <f>IF(Data!K311=0,"",Data!K311)</f>
        <v/>
      </c>
      <c r="K311" s="22">
        <f>Data!L311</f>
        <v>0</v>
      </c>
      <c r="L311" s="21" t="str">
        <f>IF(Data!N311=0,"",Data!N311)</f>
        <v/>
      </c>
      <c r="M311" s="20">
        <f>Data!O311</f>
        <v>0</v>
      </c>
      <c r="N311" s="20">
        <f>Data!P311</f>
        <v>0</v>
      </c>
      <c r="O311" s="20">
        <f>Data!Q311</f>
        <v>0</v>
      </c>
      <c r="P311" s="20">
        <f>Data!R311</f>
        <v>0</v>
      </c>
      <c r="Q311" s="20">
        <f>Data!S311</f>
        <v>0</v>
      </c>
      <c r="R311" s="20">
        <f>Data!T311</f>
        <v>0</v>
      </c>
      <c r="S311" s="20">
        <f>Data!U311</f>
        <v>0</v>
      </c>
      <c r="T311" s="20">
        <f>Data!V311</f>
        <v>0</v>
      </c>
      <c r="U311" s="20">
        <f>Data!W311</f>
        <v>0</v>
      </c>
      <c r="V311" s="20">
        <f>Data!X311</f>
        <v>0</v>
      </c>
      <c r="W311" s="20">
        <f>Data!Y311</f>
        <v>0</v>
      </c>
      <c r="X311" s="20">
        <f>Data!Z311</f>
        <v>0</v>
      </c>
      <c r="Y311" s="22">
        <f>Data!AL311</f>
        <v>0</v>
      </c>
      <c r="Z311" s="20" t="str">
        <f>Data!AC311</f>
        <v>Gear position</v>
      </c>
      <c r="AA311" s="20" t="str">
        <f>Data!AE311</f>
        <v/>
      </c>
      <c r="AB311" s="20">
        <f>Data!AG311</f>
        <v>0</v>
      </c>
      <c r="AC311" s="20" t="str">
        <f>CONCATENATE(Data!AI311," ",Data!AJ311)</f>
        <v xml:space="preserve">-1 </v>
      </c>
    </row>
    <row r="312" spans="1:29" ht="15">
      <c r="A312" s="20" t="str">
        <f>Data!A312</f>
        <v>デモ機</v>
      </c>
      <c r="B312" s="20" t="str">
        <f>Data!C312</f>
        <v>Entire Organization</v>
      </c>
      <c r="C312" s="20" t="str">
        <f>IF(Data!E312=0,"",Data!E312)</f>
        <v/>
      </c>
      <c r="D312" s="26">
        <f t="shared" si="4"/>
        <v>42065.902714270836</v>
      </c>
      <c r="E312" s="27">
        <f>Data!F312</f>
        <v>42065.902714270836</v>
      </c>
      <c r="F312" s="20" t="str">
        <f>Data!G312</f>
        <v>DebugRecord</v>
      </c>
      <c r="G312" s="20">
        <f>Data!H312</f>
        <v>0</v>
      </c>
      <c r="H312" s="20">
        <f>Data!I312</f>
        <v>0</v>
      </c>
      <c r="I312" s="20">
        <f>Data!J312</f>
        <v>0</v>
      </c>
      <c r="J312" s="21" t="str">
        <f>IF(Data!K312=0,"",Data!K312)</f>
        <v/>
      </c>
      <c r="K312" s="22">
        <f>Data!L312</f>
        <v>0</v>
      </c>
      <c r="L312" s="21" t="str">
        <f>IF(Data!N312=0,"",Data!N312)</f>
        <v>OutOfReverseZeroSpeed</v>
      </c>
      <c r="M312" s="20">
        <f>Data!O312</f>
        <v>0</v>
      </c>
      <c r="N312" s="20">
        <f>Data!P312</f>
        <v>0</v>
      </c>
      <c r="O312" s="20">
        <f>Data!Q312</f>
        <v>0</v>
      </c>
      <c r="P312" s="20">
        <f>Data!R312</f>
        <v>0</v>
      </c>
      <c r="Q312" s="20">
        <f>Data!S312</f>
        <v>0</v>
      </c>
      <c r="R312" s="20">
        <f>Data!T312</f>
        <v>0</v>
      </c>
      <c r="S312" s="20">
        <f>Data!U312</f>
        <v>0</v>
      </c>
      <c r="T312" s="20">
        <f>Data!V312</f>
        <v>0</v>
      </c>
      <c r="U312" s="20">
        <f>Data!W312</f>
        <v>0</v>
      </c>
      <c r="V312" s="20">
        <f>Data!X312</f>
        <v>0</v>
      </c>
      <c r="W312" s="20">
        <f>Data!Y312</f>
        <v>0</v>
      </c>
      <c r="X312" s="20">
        <f>Data!Z312</f>
        <v>0</v>
      </c>
      <c r="Y312" s="22" t="str">
        <f>Data!AL312</f>
        <v>0E0000000000000000000000000000</v>
      </c>
      <c r="Z312" s="20">
        <f>Data!AC312</f>
        <v>0</v>
      </c>
      <c r="AA312" s="20">
        <f>Data!AE312</f>
        <v>0</v>
      </c>
      <c r="AB312" s="20">
        <f>Data!AG312</f>
        <v>0</v>
      </c>
      <c r="AC312" s="20" t="str">
        <f>CONCATENATE(Data!AI312," ",Data!AJ312)</f>
        <v xml:space="preserve"> </v>
      </c>
    </row>
    <row r="313" spans="1:29" ht="15">
      <c r="A313" s="20" t="str">
        <f>Data!A313</f>
        <v>デモ機</v>
      </c>
      <c r="B313" s="20" t="str">
        <f>Data!C313</f>
        <v>Entire Organization</v>
      </c>
      <c r="C313" s="20" t="str">
        <f>IF(Data!E313=0,"",Data!E313)</f>
        <v/>
      </c>
      <c r="D313" s="26">
        <f t="shared" si="4"/>
        <v>42065.902772222224</v>
      </c>
      <c r="E313" s="27">
        <f>Data!F313</f>
        <v>42065.902772222224</v>
      </c>
      <c r="F313" s="20" t="str">
        <f>Data!G313</f>
        <v>EngineStatusRecord</v>
      </c>
      <c r="G313" s="20">
        <f>Data!H313</f>
        <v>0</v>
      </c>
      <c r="H313" s="20">
        <f>Data!I313</f>
        <v>0</v>
      </c>
      <c r="I313" s="20">
        <f>Data!J313</f>
        <v>0</v>
      </c>
      <c r="J313" s="21" t="str">
        <f>IF(Data!K313=0,"",Data!K313)</f>
        <v/>
      </c>
      <c r="K313" s="22">
        <f>Data!L313</f>
        <v>0</v>
      </c>
      <c r="L313" s="21" t="str">
        <f>IF(Data!N313=0,"",Data!N313)</f>
        <v/>
      </c>
      <c r="M313" s="20">
        <f>Data!O313</f>
        <v>0</v>
      </c>
      <c r="N313" s="20">
        <f>Data!P313</f>
        <v>0</v>
      </c>
      <c r="O313" s="20">
        <f>Data!Q313</f>
        <v>0</v>
      </c>
      <c r="P313" s="20">
        <f>Data!R313</f>
        <v>0</v>
      </c>
      <c r="Q313" s="20">
        <f>Data!S313</f>
        <v>0</v>
      </c>
      <c r="R313" s="20">
        <f>Data!T313</f>
        <v>0</v>
      </c>
      <c r="S313" s="20">
        <f>Data!U313</f>
        <v>0</v>
      </c>
      <c r="T313" s="20">
        <f>Data!V313</f>
        <v>0</v>
      </c>
      <c r="U313" s="20">
        <f>Data!W313</f>
        <v>0</v>
      </c>
      <c r="V313" s="20">
        <f>Data!X313</f>
        <v>0</v>
      </c>
      <c r="W313" s="20">
        <f>Data!Y313</f>
        <v>0</v>
      </c>
      <c r="X313" s="20">
        <f>Data!Z313</f>
        <v>0</v>
      </c>
      <c r="Y313" s="22">
        <f>Data!AL313</f>
        <v>0</v>
      </c>
      <c r="Z313" s="20" t="str">
        <f>Data!AC313</f>
        <v>Gear position</v>
      </c>
      <c r="AA313" s="20" t="str">
        <f>Data!AE313</f>
        <v/>
      </c>
      <c r="AB313" s="20">
        <f>Data!AG313</f>
        <v>0</v>
      </c>
      <c r="AC313" s="20" t="str">
        <f>CONCATENATE(Data!AI313," ",Data!AJ313)</f>
        <v xml:space="preserve">0 </v>
      </c>
    </row>
    <row r="314" spans="1:29" ht="15">
      <c r="A314" s="20" t="str">
        <f>Data!A314</f>
        <v>デモ機</v>
      </c>
      <c r="B314" s="20" t="str">
        <f>Data!C314</f>
        <v>Entire Organization</v>
      </c>
      <c r="C314" s="20" t="str">
        <f>IF(Data!E314=0,"",Data!E314)</f>
        <v/>
      </c>
      <c r="D314" s="26">
        <f t="shared" si="4"/>
        <v>42065.90279521991</v>
      </c>
      <c r="E314" s="27">
        <f>Data!F314</f>
        <v>42065.90279521991</v>
      </c>
      <c r="F314" s="20" t="str">
        <f>Data!G314</f>
        <v>DebugRecord</v>
      </c>
      <c r="G314" s="20">
        <f>Data!H314</f>
        <v>0</v>
      </c>
      <c r="H314" s="20">
        <f>Data!I314</f>
        <v>0</v>
      </c>
      <c r="I314" s="20">
        <f>Data!J314</f>
        <v>0</v>
      </c>
      <c r="J314" s="21" t="str">
        <f>IF(Data!K314=0,"",Data!K314)</f>
        <v/>
      </c>
      <c r="K314" s="22">
        <f>Data!L314</f>
        <v>0</v>
      </c>
      <c r="L314" s="21" t="str">
        <f>IF(Data!N314=0,"",Data!N314)</f>
        <v>ReverseDetectionStarted</v>
      </c>
      <c r="M314" s="20">
        <f>Data!O314</f>
        <v>0</v>
      </c>
      <c r="N314" s="20">
        <f>Data!P314</f>
        <v>0</v>
      </c>
      <c r="O314" s="20">
        <f>Data!Q314</f>
        <v>0</v>
      </c>
      <c r="P314" s="20">
        <f>Data!R314</f>
        <v>0</v>
      </c>
      <c r="Q314" s="20">
        <f>Data!S314</f>
        <v>0</v>
      </c>
      <c r="R314" s="20">
        <f>Data!T314</f>
        <v>0</v>
      </c>
      <c r="S314" s="20">
        <f>Data!U314</f>
        <v>0</v>
      </c>
      <c r="T314" s="20">
        <f>Data!V314</f>
        <v>0</v>
      </c>
      <c r="U314" s="20">
        <f>Data!W314</f>
        <v>0</v>
      </c>
      <c r="V314" s="20">
        <f>Data!X314</f>
        <v>0</v>
      </c>
      <c r="W314" s="20">
        <f>Data!Y314</f>
        <v>0</v>
      </c>
      <c r="X314" s="20">
        <f>Data!Z314</f>
        <v>0</v>
      </c>
      <c r="Y314" s="22" t="str">
        <f>Data!AL314</f>
        <v>1300EDFFFDFFD9FF00000000000000</v>
      </c>
      <c r="Z314" s="20">
        <f>Data!AC314</f>
        <v>0</v>
      </c>
      <c r="AA314" s="20">
        <f>Data!AE314</f>
        <v>0</v>
      </c>
      <c r="AB314" s="20">
        <f>Data!AG314</f>
        <v>0</v>
      </c>
      <c r="AC314" s="20" t="str">
        <f>CONCATENATE(Data!AI314," ",Data!AJ314)</f>
        <v xml:space="preserve"> </v>
      </c>
    </row>
    <row r="315" spans="1:29" ht="15">
      <c r="A315" s="20" t="str">
        <f>Data!A315</f>
        <v>デモ機</v>
      </c>
      <c r="B315" s="20" t="str">
        <f>Data!C315</f>
        <v>Entire Organization</v>
      </c>
      <c r="C315" s="20" t="str">
        <f>IF(Data!E315=0,"",Data!E315)</f>
        <v/>
      </c>
      <c r="D315" s="26">
        <f t="shared" si="4"/>
        <v>42065.902807025464</v>
      </c>
      <c r="E315" s="27">
        <f>Data!F315</f>
        <v>42065.902807025464</v>
      </c>
      <c r="F315" s="20" t="str">
        <f>Data!G315</f>
        <v>DebugRecord</v>
      </c>
      <c r="G315" s="20">
        <f>Data!H315</f>
        <v>0</v>
      </c>
      <c r="H315" s="20">
        <f>Data!I315</f>
        <v>0</v>
      </c>
      <c r="I315" s="20">
        <f>Data!J315</f>
        <v>0</v>
      </c>
      <c r="J315" s="21" t="str">
        <f>IF(Data!K315=0,"",Data!K315)</f>
        <v/>
      </c>
      <c r="K315" s="22">
        <f>Data!L315</f>
        <v>0</v>
      </c>
      <c r="L315" s="21" t="str">
        <f>IF(Data!N315=0,"",Data!N315)</f>
        <v>ConfirmReverseDetectStage1</v>
      </c>
      <c r="M315" s="20">
        <f>Data!O315</f>
        <v>0</v>
      </c>
      <c r="N315" s="20">
        <f>Data!P315</f>
        <v>0</v>
      </c>
      <c r="O315" s="20">
        <f>Data!Q315</f>
        <v>0</v>
      </c>
      <c r="P315" s="20">
        <f>Data!R315</f>
        <v>0</v>
      </c>
      <c r="Q315" s="20">
        <f>Data!S315</f>
        <v>0</v>
      </c>
      <c r="R315" s="20">
        <f>Data!T315</f>
        <v>0</v>
      </c>
      <c r="S315" s="20">
        <f>Data!U315</f>
        <v>0</v>
      </c>
      <c r="T315" s="20">
        <f>Data!V315</f>
        <v>0</v>
      </c>
      <c r="U315" s="20">
        <f>Data!W315</f>
        <v>0</v>
      </c>
      <c r="V315" s="20">
        <f>Data!X315</f>
        <v>0</v>
      </c>
      <c r="W315" s="20">
        <f>Data!Y315</f>
        <v>0</v>
      </c>
      <c r="X315" s="20">
        <f>Data!Z315</f>
        <v>0</v>
      </c>
      <c r="Y315" s="22" t="str">
        <f>Data!AL315</f>
        <v>D2FFFFFF0000000000000000000000</v>
      </c>
      <c r="Z315" s="20">
        <f>Data!AC315</f>
        <v>0</v>
      </c>
      <c r="AA315" s="20">
        <f>Data!AE315</f>
        <v>0</v>
      </c>
      <c r="AB315" s="20">
        <f>Data!AG315</f>
        <v>0</v>
      </c>
      <c r="AC315" s="20" t="str">
        <f>CONCATENATE(Data!AI315," ",Data!AJ315)</f>
        <v xml:space="preserve"> </v>
      </c>
    </row>
    <row r="316" spans="1:29" ht="15">
      <c r="A316" s="20" t="str">
        <f>Data!A316</f>
        <v>デモ機</v>
      </c>
      <c r="B316" s="20" t="str">
        <f>Data!C316</f>
        <v>Entire Organization</v>
      </c>
      <c r="C316" s="20" t="str">
        <f>IF(Data!E316=0,"",Data!E316)</f>
        <v/>
      </c>
      <c r="D316" s="26">
        <f t="shared" si="4"/>
        <v>42065.902813275461</v>
      </c>
      <c r="E316" s="27">
        <f>Data!F316</f>
        <v>42065.902813275461</v>
      </c>
      <c r="F316" s="20" t="str">
        <f>Data!G316</f>
        <v>DebugRecord</v>
      </c>
      <c r="G316" s="20">
        <f>Data!H316</f>
        <v>0</v>
      </c>
      <c r="H316" s="20">
        <f>Data!I316</f>
        <v>0</v>
      </c>
      <c r="I316" s="20">
        <f>Data!J316</f>
        <v>0</v>
      </c>
      <c r="J316" s="21" t="str">
        <f>IF(Data!K316=0,"",Data!K316)</f>
        <v/>
      </c>
      <c r="K316" s="22">
        <f>Data!L316</f>
        <v>0</v>
      </c>
      <c r="L316" s="21" t="str">
        <f>IF(Data!N316=0,"",Data!N316)</f>
        <v>ReverseNotConfirmedDueToZeroSpeed</v>
      </c>
      <c r="M316" s="20">
        <f>Data!O316</f>
        <v>0</v>
      </c>
      <c r="N316" s="20">
        <f>Data!P316</f>
        <v>0</v>
      </c>
      <c r="O316" s="20">
        <f>Data!Q316</f>
        <v>0</v>
      </c>
      <c r="P316" s="20">
        <f>Data!R316</f>
        <v>0</v>
      </c>
      <c r="Q316" s="20">
        <f>Data!S316</f>
        <v>0</v>
      </c>
      <c r="R316" s="20">
        <f>Data!T316</f>
        <v>0</v>
      </c>
      <c r="S316" s="20">
        <f>Data!U316</f>
        <v>0</v>
      </c>
      <c r="T316" s="20">
        <f>Data!V316</f>
        <v>0</v>
      </c>
      <c r="U316" s="20">
        <f>Data!W316</f>
        <v>0</v>
      </c>
      <c r="V316" s="20">
        <f>Data!X316</f>
        <v>0</v>
      </c>
      <c r="W316" s="20">
        <f>Data!Y316</f>
        <v>0</v>
      </c>
      <c r="X316" s="20">
        <f>Data!Z316</f>
        <v>0</v>
      </c>
      <c r="Y316" s="22" t="str">
        <f>Data!AL316</f>
        <v>5F0000000000000000000000000000</v>
      </c>
      <c r="Z316" s="20">
        <f>Data!AC316</f>
        <v>0</v>
      </c>
      <c r="AA316" s="20">
        <f>Data!AE316</f>
        <v>0</v>
      </c>
      <c r="AB316" s="20">
        <f>Data!AG316</f>
        <v>0</v>
      </c>
      <c r="AC316" s="20" t="str">
        <f>CONCATENATE(Data!AI316," ",Data!AJ316)</f>
        <v xml:space="preserve"> </v>
      </c>
    </row>
    <row r="317" spans="1:29" ht="15">
      <c r="A317" s="20" t="str">
        <f>Data!A317</f>
        <v>デモ機</v>
      </c>
      <c r="B317" s="20" t="str">
        <f>Data!C317</f>
        <v>Entire Organization</v>
      </c>
      <c r="C317" s="20" t="str">
        <f>IF(Data!E317=0,"",Data!E317)</f>
        <v/>
      </c>
      <c r="D317" s="26">
        <f t="shared" si="4"/>
        <v>42065.902825034726</v>
      </c>
      <c r="E317" s="27">
        <f>Data!F317</f>
        <v>42065.902825034726</v>
      </c>
      <c r="F317" s="20" t="str">
        <f>Data!G317</f>
        <v>DebugRecord</v>
      </c>
      <c r="G317" s="20">
        <f>Data!H317</f>
        <v>0</v>
      </c>
      <c r="H317" s="20">
        <f>Data!I317</f>
        <v>0</v>
      </c>
      <c r="I317" s="20">
        <f>Data!J317</f>
        <v>0</v>
      </c>
      <c r="J317" s="21" t="str">
        <f>IF(Data!K317=0,"",Data!K317)</f>
        <v/>
      </c>
      <c r="K317" s="22">
        <f>Data!L317</f>
        <v>0</v>
      </c>
      <c r="L317" s="21" t="str">
        <f>IF(Data!N317=0,"",Data!N317)</f>
        <v>ReverseDetectionStarted</v>
      </c>
      <c r="M317" s="20">
        <f>Data!O317</f>
        <v>0</v>
      </c>
      <c r="N317" s="20">
        <f>Data!P317</f>
        <v>0</v>
      </c>
      <c r="O317" s="20">
        <f>Data!Q317</f>
        <v>0</v>
      </c>
      <c r="P317" s="20">
        <f>Data!R317</f>
        <v>0</v>
      </c>
      <c r="Q317" s="20">
        <f>Data!S317</f>
        <v>0</v>
      </c>
      <c r="R317" s="20">
        <f>Data!T317</f>
        <v>0</v>
      </c>
      <c r="S317" s="20">
        <f>Data!U317</f>
        <v>0</v>
      </c>
      <c r="T317" s="20">
        <f>Data!V317</f>
        <v>0</v>
      </c>
      <c r="U317" s="20">
        <f>Data!W317</f>
        <v>0</v>
      </c>
      <c r="V317" s="20">
        <f>Data!X317</f>
        <v>0</v>
      </c>
      <c r="W317" s="20">
        <f>Data!Y317</f>
        <v>0</v>
      </c>
      <c r="X317" s="20">
        <f>Data!Z317</f>
        <v>0</v>
      </c>
      <c r="Y317" s="22" t="str">
        <f>Data!AL317</f>
        <v>00000000BFFFE3FF00000000000000</v>
      </c>
      <c r="Z317" s="20">
        <f>Data!AC317</f>
        <v>0</v>
      </c>
      <c r="AA317" s="20">
        <f>Data!AE317</f>
        <v>0</v>
      </c>
      <c r="AB317" s="20">
        <f>Data!AG317</f>
        <v>0</v>
      </c>
      <c r="AC317" s="20" t="str">
        <f>CONCATENATE(Data!AI317," ",Data!AJ317)</f>
        <v xml:space="preserve"> </v>
      </c>
    </row>
    <row r="318" spans="1:29" ht="15">
      <c r="A318" s="20" t="str">
        <f>Data!A318</f>
        <v>デモ機</v>
      </c>
      <c r="B318" s="20" t="str">
        <f>Data!C318</f>
        <v>Entire Organization</v>
      </c>
      <c r="C318" s="20" t="str">
        <f>IF(Data!E318=0,"",Data!E318)</f>
        <v/>
      </c>
      <c r="D318" s="26">
        <f t="shared" si="4"/>
        <v>42065.902836770831</v>
      </c>
      <c r="E318" s="27">
        <f>Data!F318</f>
        <v>42065.902836770831</v>
      </c>
      <c r="F318" s="20" t="str">
        <f>Data!G318</f>
        <v>DebugRecord</v>
      </c>
      <c r="G318" s="20">
        <f>Data!H318</f>
        <v>0</v>
      </c>
      <c r="H318" s="20">
        <f>Data!I318</f>
        <v>0</v>
      </c>
      <c r="I318" s="20">
        <f>Data!J318</f>
        <v>0</v>
      </c>
      <c r="J318" s="21" t="str">
        <f>IF(Data!K318=0,"",Data!K318)</f>
        <v/>
      </c>
      <c r="K318" s="22">
        <f>Data!L318</f>
        <v>0</v>
      </c>
      <c r="L318" s="21" t="str">
        <f>IF(Data!N318=0,"",Data!N318)</f>
        <v>ConfirmReverseDetectStage1</v>
      </c>
      <c r="M318" s="20">
        <f>Data!O318</f>
        <v>0</v>
      </c>
      <c r="N318" s="20">
        <f>Data!P318</f>
        <v>0</v>
      </c>
      <c r="O318" s="20">
        <f>Data!Q318</f>
        <v>0</v>
      </c>
      <c r="P318" s="20">
        <f>Data!R318</f>
        <v>0</v>
      </c>
      <c r="Q318" s="20">
        <f>Data!S318</f>
        <v>0</v>
      </c>
      <c r="R318" s="20">
        <f>Data!T318</f>
        <v>0</v>
      </c>
      <c r="S318" s="20">
        <f>Data!U318</f>
        <v>0</v>
      </c>
      <c r="T318" s="20">
        <f>Data!V318</f>
        <v>0</v>
      </c>
      <c r="U318" s="20">
        <f>Data!W318</f>
        <v>0</v>
      </c>
      <c r="V318" s="20">
        <f>Data!X318</f>
        <v>0</v>
      </c>
      <c r="W318" s="20">
        <f>Data!Y318</f>
        <v>0</v>
      </c>
      <c r="X318" s="20">
        <f>Data!Z318</f>
        <v>0</v>
      </c>
      <c r="Y318" s="22" t="str">
        <f>Data!AL318</f>
        <v>90FFFFFF0000000000000000000000</v>
      </c>
      <c r="Z318" s="20">
        <f>Data!AC318</f>
        <v>0</v>
      </c>
      <c r="AA318" s="20">
        <f>Data!AE318</f>
        <v>0</v>
      </c>
      <c r="AB318" s="20">
        <f>Data!AG318</f>
        <v>0</v>
      </c>
      <c r="AC318" s="20" t="str">
        <f>CONCATENATE(Data!AI318," ",Data!AJ318)</f>
        <v xml:space="preserve"> </v>
      </c>
    </row>
    <row r="319" spans="1:29" ht="15">
      <c r="A319" s="20" t="str">
        <f>Data!A319</f>
        <v>デモ機</v>
      </c>
      <c r="B319" s="20" t="str">
        <f>Data!C319</f>
        <v>Entire Organization</v>
      </c>
      <c r="C319" s="20" t="str">
        <f>IF(Data!E319=0,"",Data!E319)</f>
        <v/>
      </c>
      <c r="D319" s="26">
        <f t="shared" si="4"/>
        <v>42065.90284722222</v>
      </c>
      <c r="E319" s="27">
        <f>Data!F319</f>
        <v>42065.90284722222</v>
      </c>
      <c r="F319" s="20" t="str">
        <f>Data!G319</f>
        <v>GpsRecord</v>
      </c>
      <c r="G319" s="20">
        <f>Data!H319</f>
        <v>1</v>
      </c>
      <c r="H319" s="20">
        <f>Data!I319</f>
        <v>139.39479</v>
      </c>
      <c r="I319" s="20">
        <f>Data!J319</f>
        <v>35.58605</v>
      </c>
      <c r="J319" s="21" t="str">
        <f>IF(Data!K319=0,"",Data!K319)</f>
        <v>日本, 〒194-0213 東京都町田市常盤町 町田街道</v>
      </c>
      <c r="K319" s="22">
        <f>Data!L319</f>
        <v>0</v>
      </c>
      <c r="L319" s="21" t="str">
        <f>IF(Data!N319=0,"",Data!N319)</f>
        <v>CurveZeroSpeed</v>
      </c>
      <c r="M319" s="20" t="b">
        <f>Data!O319</f>
        <v>1</v>
      </c>
      <c r="N319" s="20" t="b">
        <f>Data!P319</f>
        <v>0</v>
      </c>
      <c r="O319" s="20" t="b">
        <f>Data!Q319</f>
        <v>0</v>
      </c>
      <c r="P319" s="20" t="b">
        <f>Data!R319</f>
        <v>0</v>
      </c>
      <c r="Q319" s="20" t="b">
        <f>Data!S319</f>
        <v>0</v>
      </c>
      <c r="R319" s="20" t="b">
        <f>Data!T319</f>
        <v>0</v>
      </c>
      <c r="S319" s="20" t="b">
        <f>Data!U319</f>
        <v>0</v>
      </c>
      <c r="T319" s="20" t="b">
        <f>Data!V319</f>
        <v>0</v>
      </c>
      <c r="U319" s="20" t="b">
        <f>Data!W319</f>
        <v>0</v>
      </c>
      <c r="V319" s="20" t="b">
        <f>Data!X319</f>
        <v>1</v>
      </c>
      <c r="W319" s="20" t="b">
        <f>Data!Y319</f>
        <v>1</v>
      </c>
      <c r="X319" s="20">
        <f>Data!Z319</f>
        <v>0</v>
      </c>
      <c r="Y319" s="22">
        <f>Data!AL319</f>
        <v>0</v>
      </c>
      <c r="Z319" s="20">
        <f>Data!AC319</f>
        <v>0</v>
      </c>
      <c r="AA319" s="20">
        <f>Data!AE319</f>
        <v>0</v>
      </c>
      <c r="AB319" s="20">
        <f>Data!AG319</f>
        <v>0</v>
      </c>
      <c r="AC319" s="20" t="str">
        <f>CONCATENATE(Data!AI319," ",Data!AJ319)</f>
        <v xml:space="preserve"> </v>
      </c>
    </row>
    <row r="320" spans="1:29" ht="15">
      <c r="A320" s="20" t="str">
        <f>Data!A320</f>
        <v>デモ機</v>
      </c>
      <c r="B320" s="20" t="str">
        <f>Data!C320</f>
        <v>Entire Organization</v>
      </c>
      <c r="C320" s="20" t="str">
        <f>IF(Data!E320=0,"",Data!E320)</f>
        <v/>
      </c>
      <c r="D320" s="26">
        <f t="shared" si="4"/>
        <v>42065.902848530095</v>
      </c>
      <c r="E320" s="27">
        <f>Data!F320</f>
        <v>42065.902848530095</v>
      </c>
      <c r="F320" s="20" t="str">
        <f>Data!G320</f>
        <v>DebugRecord</v>
      </c>
      <c r="G320" s="20">
        <f>Data!H320</f>
        <v>0</v>
      </c>
      <c r="H320" s="20">
        <f>Data!I320</f>
        <v>0</v>
      </c>
      <c r="I320" s="20">
        <f>Data!J320</f>
        <v>0</v>
      </c>
      <c r="J320" s="21" t="str">
        <f>IF(Data!K320=0,"",Data!K320)</f>
        <v/>
      </c>
      <c r="K320" s="22">
        <f>Data!L320</f>
        <v>0</v>
      </c>
      <c r="L320" s="21" t="str">
        <f>IF(Data!N320=0,"",Data!N320)</f>
        <v>ReverseMovementConfirmed</v>
      </c>
      <c r="M320" s="20">
        <f>Data!O320</f>
        <v>0</v>
      </c>
      <c r="N320" s="20">
        <f>Data!P320</f>
        <v>0</v>
      </c>
      <c r="O320" s="20">
        <f>Data!Q320</f>
        <v>0</v>
      </c>
      <c r="P320" s="20">
        <f>Data!R320</f>
        <v>0</v>
      </c>
      <c r="Q320" s="20">
        <f>Data!S320</f>
        <v>0</v>
      </c>
      <c r="R320" s="20">
        <f>Data!T320</f>
        <v>0</v>
      </c>
      <c r="S320" s="20">
        <f>Data!U320</f>
        <v>0</v>
      </c>
      <c r="T320" s="20">
        <f>Data!V320</f>
        <v>0</v>
      </c>
      <c r="U320" s="20">
        <f>Data!W320</f>
        <v>0</v>
      </c>
      <c r="V320" s="20">
        <f>Data!X320</f>
        <v>0</v>
      </c>
      <c r="W320" s="20">
        <f>Data!Y320</f>
        <v>0</v>
      </c>
      <c r="X320" s="20">
        <f>Data!Z320</f>
        <v>0</v>
      </c>
      <c r="Y320" s="22" t="str">
        <f>Data!AL320</f>
        <v>E8FFFFFF0000000000000000000000</v>
      </c>
      <c r="Z320" s="20">
        <f>Data!AC320</f>
        <v>0</v>
      </c>
      <c r="AA320" s="20">
        <f>Data!AE320</f>
        <v>0</v>
      </c>
      <c r="AB320" s="20">
        <f>Data!AG320</f>
        <v>0</v>
      </c>
      <c r="AC320" s="20" t="str">
        <f>CONCATENATE(Data!AI320," ",Data!AJ320)</f>
        <v xml:space="preserve"> </v>
      </c>
    </row>
    <row r="321" spans="1:29" ht="15">
      <c r="A321" s="20" t="str">
        <f>Data!A321</f>
        <v>デモ機</v>
      </c>
      <c r="B321" s="20" t="str">
        <f>Data!C321</f>
        <v>Entire Organization</v>
      </c>
      <c r="C321" s="20" t="str">
        <f>IF(Data!E321=0,"",Data!E321)</f>
        <v/>
      </c>
      <c r="D321" s="26">
        <f t="shared" si="4"/>
        <v>42065.902848692131</v>
      </c>
      <c r="E321" s="27">
        <f>Data!F321</f>
        <v>42065.902848692131</v>
      </c>
      <c r="F321" s="20" t="str">
        <f>Data!G321</f>
        <v>EngineStatusRecord</v>
      </c>
      <c r="G321" s="20">
        <f>Data!H321</f>
        <v>0</v>
      </c>
      <c r="H321" s="20">
        <f>Data!I321</f>
        <v>0</v>
      </c>
      <c r="I321" s="20">
        <f>Data!J321</f>
        <v>0</v>
      </c>
      <c r="J321" s="21" t="str">
        <f>IF(Data!K321=0,"",Data!K321)</f>
        <v/>
      </c>
      <c r="K321" s="22">
        <f>Data!L321</f>
        <v>0</v>
      </c>
      <c r="L321" s="21" t="str">
        <f>IF(Data!N321=0,"",Data!N321)</f>
        <v/>
      </c>
      <c r="M321" s="20">
        <f>Data!O321</f>
        <v>0</v>
      </c>
      <c r="N321" s="20">
        <f>Data!P321</f>
        <v>0</v>
      </c>
      <c r="O321" s="20">
        <f>Data!Q321</f>
        <v>0</v>
      </c>
      <c r="P321" s="20">
        <f>Data!R321</f>
        <v>0</v>
      </c>
      <c r="Q321" s="20">
        <f>Data!S321</f>
        <v>0</v>
      </c>
      <c r="R321" s="20">
        <f>Data!T321</f>
        <v>0</v>
      </c>
      <c r="S321" s="20">
        <f>Data!U321</f>
        <v>0</v>
      </c>
      <c r="T321" s="20">
        <f>Data!V321</f>
        <v>0</v>
      </c>
      <c r="U321" s="20">
        <f>Data!W321</f>
        <v>0</v>
      </c>
      <c r="V321" s="20">
        <f>Data!X321</f>
        <v>0</v>
      </c>
      <c r="W321" s="20">
        <f>Data!Y321</f>
        <v>0</v>
      </c>
      <c r="X321" s="20">
        <f>Data!Z321</f>
        <v>0</v>
      </c>
      <c r="Y321" s="22">
        <f>Data!AL321</f>
        <v>0</v>
      </c>
      <c r="Z321" s="20" t="str">
        <f>Data!AC321</f>
        <v>Gear position</v>
      </c>
      <c r="AA321" s="20" t="str">
        <f>Data!AE321</f>
        <v/>
      </c>
      <c r="AB321" s="20">
        <f>Data!AG321</f>
        <v>0</v>
      </c>
      <c r="AC321" s="20" t="str">
        <f>CONCATENATE(Data!AI321," ",Data!AJ321)</f>
        <v xml:space="preserve">-1 </v>
      </c>
    </row>
    <row r="322" spans="1:29" ht="15">
      <c r="A322" s="20" t="str">
        <f>Data!A322</f>
        <v>デモ機</v>
      </c>
      <c r="B322" s="20" t="str">
        <f>Data!C322</f>
        <v>Entire Organization</v>
      </c>
      <c r="C322" s="20" t="str">
        <f>IF(Data!E322=0,"",Data!E322)</f>
        <v/>
      </c>
      <c r="D322" s="26">
        <f t="shared" si="4"/>
        <v>42065.902858796297</v>
      </c>
      <c r="E322" s="27">
        <f>Data!F322</f>
        <v>42065.902858796297</v>
      </c>
      <c r="F322" s="20" t="str">
        <f>Data!G322</f>
        <v>GpsRecord</v>
      </c>
      <c r="G322" s="20">
        <f>Data!H322</f>
        <v>0</v>
      </c>
      <c r="H322" s="20">
        <f>Data!I322</f>
        <v>139.39479</v>
      </c>
      <c r="I322" s="20">
        <f>Data!J322</f>
        <v>35.58605</v>
      </c>
      <c r="J322" s="21" t="str">
        <f>IF(Data!K322=0,"",Data!K322)</f>
        <v>日本, 〒194-0213 東京都町田市常盤町 町田街道</v>
      </c>
      <c r="K322" s="22">
        <f>Data!L322</f>
        <v>0</v>
      </c>
      <c r="L322" s="21" t="str">
        <f>IF(Data!N322=0,"",Data!N322)</f>
        <v>CurveZeroSpeed</v>
      </c>
      <c r="M322" s="20" t="b">
        <f>Data!O322</f>
        <v>1</v>
      </c>
      <c r="N322" s="20" t="b">
        <f>Data!P322</f>
        <v>0</v>
      </c>
      <c r="O322" s="20" t="b">
        <f>Data!Q322</f>
        <v>0</v>
      </c>
      <c r="P322" s="20" t="b">
        <f>Data!R322</f>
        <v>0</v>
      </c>
      <c r="Q322" s="20" t="b">
        <f>Data!S322</f>
        <v>0</v>
      </c>
      <c r="R322" s="20" t="b">
        <f>Data!T322</f>
        <v>0</v>
      </c>
      <c r="S322" s="20" t="b">
        <f>Data!U322</f>
        <v>0</v>
      </c>
      <c r="T322" s="20" t="b">
        <f>Data!V322</f>
        <v>0</v>
      </c>
      <c r="U322" s="20" t="b">
        <f>Data!W322</f>
        <v>0</v>
      </c>
      <c r="V322" s="20" t="b">
        <f>Data!X322</f>
        <v>1</v>
      </c>
      <c r="W322" s="20" t="b">
        <f>Data!Y322</f>
        <v>1</v>
      </c>
      <c r="X322" s="20">
        <f>Data!Z322</f>
        <v>0</v>
      </c>
      <c r="Y322" s="22">
        <f>Data!AL322</f>
        <v>0</v>
      </c>
      <c r="Z322" s="20">
        <f>Data!AC322</f>
        <v>0</v>
      </c>
      <c r="AA322" s="20">
        <f>Data!AE322</f>
        <v>0</v>
      </c>
      <c r="AB322" s="20">
        <f>Data!AG322</f>
        <v>0</v>
      </c>
      <c r="AC322" s="20" t="str">
        <f>CONCATENATE(Data!AI322," ",Data!AJ322)</f>
        <v xml:space="preserve"> </v>
      </c>
    </row>
    <row r="323" spans="1:29" ht="15">
      <c r="A323" s="20" t="str">
        <f>Data!A323</f>
        <v>デモ機</v>
      </c>
      <c r="B323" s="20" t="str">
        <f>Data!C323</f>
        <v>Entire Organization</v>
      </c>
      <c r="C323" s="20" t="str">
        <f>IF(Data!E323=0,"",Data!E323)</f>
        <v/>
      </c>
      <c r="D323" s="26">
        <f t="shared" si="4"/>
        <v>42065.902870370373</v>
      </c>
      <c r="E323" s="27">
        <f>Data!F323</f>
        <v>42065.902870370373</v>
      </c>
      <c r="F323" s="20" t="str">
        <f>Data!G323</f>
        <v>GpsRecord</v>
      </c>
      <c r="G323" s="20">
        <f>Data!H323</f>
        <v>1</v>
      </c>
      <c r="H323" s="20">
        <f>Data!I323</f>
        <v>139.39479</v>
      </c>
      <c r="I323" s="20">
        <f>Data!J323</f>
        <v>35.58605</v>
      </c>
      <c r="J323" s="21" t="str">
        <f>IF(Data!K323=0,"",Data!K323)</f>
        <v>日本, 〒194-0213 東京都町田市常盤町 町田街道</v>
      </c>
      <c r="K323" s="22">
        <f>Data!L323</f>
        <v>0</v>
      </c>
      <c r="L323" s="21" t="str">
        <f>IF(Data!N323=0,"",Data!N323)</f>
        <v>CurveZeroSpeed</v>
      </c>
      <c r="M323" s="20" t="b">
        <f>Data!O323</f>
        <v>1</v>
      </c>
      <c r="N323" s="20" t="b">
        <f>Data!P323</f>
        <v>0</v>
      </c>
      <c r="O323" s="20" t="b">
        <f>Data!Q323</f>
        <v>0</v>
      </c>
      <c r="P323" s="20" t="b">
        <f>Data!R323</f>
        <v>0</v>
      </c>
      <c r="Q323" s="20" t="b">
        <f>Data!S323</f>
        <v>0</v>
      </c>
      <c r="R323" s="20" t="b">
        <f>Data!T323</f>
        <v>0</v>
      </c>
      <c r="S323" s="20" t="b">
        <f>Data!U323</f>
        <v>0</v>
      </c>
      <c r="T323" s="20" t="b">
        <f>Data!V323</f>
        <v>0</v>
      </c>
      <c r="U323" s="20" t="b">
        <f>Data!W323</f>
        <v>0</v>
      </c>
      <c r="V323" s="20" t="b">
        <f>Data!X323</f>
        <v>1</v>
      </c>
      <c r="W323" s="20" t="b">
        <f>Data!Y323</f>
        <v>1</v>
      </c>
      <c r="X323" s="20">
        <f>Data!Z323</f>
        <v>0</v>
      </c>
      <c r="Y323" s="22">
        <f>Data!AL323</f>
        <v>0</v>
      </c>
      <c r="Z323" s="20">
        <f>Data!AC323</f>
        <v>0</v>
      </c>
      <c r="AA323" s="20">
        <f>Data!AE323</f>
        <v>0</v>
      </c>
      <c r="AB323" s="20">
        <f>Data!AG323</f>
        <v>0</v>
      </c>
      <c r="AC323" s="20" t="str">
        <f>CONCATENATE(Data!AI323," ",Data!AJ323)</f>
        <v xml:space="preserve"> </v>
      </c>
    </row>
    <row r="324" spans="1:29" ht="15">
      <c r="A324" s="20" t="str">
        <f>Data!A324</f>
        <v>デモ機</v>
      </c>
      <c r="B324" s="20" t="str">
        <f>Data!C324</f>
        <v>Entire Organization</v>
      </c>
      <c r="C324" s="20" t="str">
        <f>IF(Data!E324=0,"",Data!E324)</f>
        <v/>
      </c>
      <c r="D324" s="26">
        <f t="shared" si="4"/>
        <v>42065.902997685182</v>
      </c>
      <c r="E324" s="27">
        <f>Data!F324</f>
        <v>42065.902997685182</v>
      </c>
      <c r="F324" s="20" t="str">
        <f>Data!G324</f>
        <v>GpsRecord</v>
      </c>
      <c r="G324" s="20">
        <f>Data!H324</f>
        <v>4</v>
      </c>
      <c r="H324" s="20">
        <f>Data!I324</f>
        <v>139.39474999999999</v>
      </c>
      <c r="I324" s="20">
        <f>Data!J324</f>
        <v>35.586069999999999</v>
      </c>
      <c r="J324" s="21" t="str">
        <f>IF(Data!K324=0,"",Data!K324)</f>
        <v>日本, 〒194-0213 東京都町田市常盤町 町田街道</v>
      </c>
      <c r="K324" s="22">
        <f>Data!L324</f>
        <v>0</v>
      </c>
      <c r="L324" s="21" t="str">
        <f>IF(Data!N324=0,"",Data!N324)</f>
        <v>CurveTimeOut</v>
      </c>
      <c r="M324" s="20" t="b">
        <f>Data!O324</f>
        <v>1</v>
      </c>
      <c r="N324" s="20" t="b">
        <f>Data!P324</f>
        <v>0</v>
      </c>
      <c r="O324" s="20" t="b">
        <f>Data!Q324</f>
        <v>0</v>
      </c>
      <c r="P324" s="20" t="b">
        <f>Data!R324</f>
        <v>0</v>
      </c>
      <c r="Q324" s="20" t="b">
        <f>Data!S324</f>
        <v>0</v>
      </c>
      <c r="R324" s="20" t="b">
        <f>Data!T324</f>
        <v>0</v>
      </c>
      <c r="S324" s="20" t="b">
        <f>Data!U324</f>
        <v>0</v>
      </c>
      <c r="T324" s="20" t="b">
        <f>Data!V324</f>
        <v>0</v>
      </c>
      <c r="U324" s="20" t="b">
        <f>Data!W324</f>
        <v>0</v>
      </c>
      <c r="V324" s="20" t="b">
        <f>Data!X324</f>
        <v>1</v>
      </c>
      <c r="W324" s="20" t="b">
        <f>Data!Y324</f>
        <v>1</v>
      </c>
      <c r="X324" s="20">
        <f>Data!Z324</f>
        <v>0</v>
      </c>
      <c r="Y324" s="22">
        <f>Data!AL324</f>
        <v>0</v>
      </c>
      <c r="Z324" s="20">
        <f>Data!AC324</f>
        <v>0</v>
      </c>
      <c r="AA324" s="20">
        <f>Data!AE324</f>
        <v>0</v>
      </c>
      <c r="AB324" s="20">
        <f>Data!AG324</f>
        <v>0</v>
      </c>
      <c r="AC324" s="20" t="str">
        <f>CONCATENATE(Data!AI324," ",Data!AJ324)</f>
        <v xml:space="preserve"> </v>
      </c>
    </row>
    <row r="325" spans="1:29" ht="15">
      <c r="A325" s="20" t="str">
        <f>Data!A325</f>
        <v>デモ機</v>
      </c>
      <c r="B325" s="20" t="str">
        <f>Data!C325</f>
        <v>Entire Organization</v>
      </c>
      <c r="C325" s="20" t="str">
        <f>IF(Data!E325=0,"",Data!E325)</f>
        <v/>
      </c>
      <c r="D325" s="26">
        <f t="shared" si="4"/>
        <v>42065.903015243057</v>
      </c>
      <c r="E325" s="27">
        <f>Data!F325</f>
        <v>42065.903015243057</v>
      </c>
      <c r="F325" s="20" t="str">
        <f>Data!G325</f>
        <v>DebugRecord</v>
      </c>
      <c r="G325" s="20">
        <f>Data!H325</f>
        <v>0</v>
      </c>
      <c r="H325" s="20">
        <f>Data!I325</f>
        <v>0</v>
      </c>
      <c r="I325" s="20">
        <f>Data!J325</f>
        <v>0</v>
      </c>
      <c r="J325" s="21" t="str">
        <f>IF(Data!K325=0,"",Data!K325)</f>
        <v/>
      </c>
      <c r="K325" s="22">
        <f>Data!L325</f>
        <v>0</v>
      </c>
      <c r="L325" s="21" t="str">
        <f>IF(Data!N325=0,"",Data!N325)</f>
        <v>OutOfReverseZeroSpeed</v>
      </c>
      <c r="M325" s="20">
        <f>Data!O325</f>
        <v>0</v>
      </c>
      <c r="N325" s="20">
        <f>Data!P325</f>
        <v>0</v>
      </c>
      <c r="O325" s="20">
        <f>Data!Q325</f>
        <v>0</v>
      </c>
      <c r="P325" s="20">
        <f>Data!R325</f>
        <v>0</v>
      </c>
      <c r="Q325" s="20">
        <f>Data!S325</f>
        <v>0</v>
      </c>
      <c r="R325" s="20">
        <f>Data!T325</f>
        <v>0</v>
      </c>
      <c r="S325" s="20">
        <f>Data!U325</f>
        <v>0</v>
      </c>
      <c r="T325" s="20">
        <f>Data!V325</f>
        <v>0</v>
      </c>
      <c r="U325" s="20">
        <f>Data!W325</f>
        <v>0</v>
      </c>
      <c r="V325" s="20">
        <f>Data!X325</f>
        <v>0</v>
      </c>
      <c r="W325" s="20">
        <f>Data!Y325</f>
        <v>0</v>
      </c>
      <c r="X325" s="20">
        <f>Data!Z325</f>
        <v>0</v>
      </c>
      <c r="Y325" s="22" t="str">
        <f>Data!AL325</f>
        <v>82FFFFFF0000000000000000000000</v>
      </c>
      <c r="Z325" s="20">
        <f>Data!AC325</f>
        <v>0</v>
      </c>
      <c r="AA325" s="20">
        <f>Data!AE325</f>
        <v>0</v>
      </c>
      <c r="AB325" s="20">
        <f>Data!AG325</f>
        <v>0</v>
      </c>
      <c r="AC325" s="20" t="str">
        <f>CONCATENATE(Data!AI325," ",Data!AJ325)</f>
        <v xml:space="preserve"> </v>
      </c>
    </row>
    <row r="326" spans="1:29" ht="15">
      <c r="A326" s="20" t="str">
        <f>Data!A326</f>
        <v>デモ機</v>
      </c>
      <c r="B326" s="20" t="str">
        <f>Data!C326</f>
        <v>Entire Organization</v>
      </c>
      <c r="C326" s="20" t="str">
        <f>IF(Data!E326=0,"",Data!E326)</f>
        <v/>
      </c>
      <c r="D326" s="26">
        <f t="shared" si="4"/>
        <v>42065.903020833335</v>
      </c>
      <c r="E326" s="27">
        <f>Data!F326</f>
        <v>42065.903020833335</v>
      </c>
      <c r="F326" s="20" t="str">
        <f>Data!G326</f>
        <v>GpsRecord</v>
      </c>
      <c r="G326" s="20">
        <f>Data!H326</f>
        <v>0</v>
      </c>
      <c r="H326" s="20">
        <f>Data!I326</f>
        <v>139.39474999999999</v>
      </c>
      <c r="I326" s="20">
        <f>Data!J326</f>
        <v>35.586069999999999</v>
      </c>
      <c r="J326" s="21" t="str">
        <f>IF(Data!K326=0,"",Data!K326)</f>
        <v>日本, 〒194-0213 東京都町田市常盤町 町田街道</v>
      </c>
      <c r="K326" s="22">
        <f>Data!L326</f>
        <v>0</v>
      </c>
      <c r="L326" s="21" t="str">
        <f>IF(Data!N326=0,"",Data!N326)</f>
        <v>CurveZeroSpeed</v>
      </c>
      <c r="M326" s="20" t="b">
        <f>Data!O326</f>
        <v>1</v>
      </c>
      <c r="N326" s="20" t="b">
        <f>Data!P326</f>
        <v>0</v>
      </c>
      <c r="O326" s="20" t="b">
        <f>Data!Q326</f>
        <v>0</v>
      </c>
      <c r="P326" s="20" t="b">
        <f>Data!R326</f>
        <v>0</v>
      </c>
      <c r="Q326" s="20" t="b">
        <f>Data!S326</f>
        <v>0</v>
      </c>
      <c r="R326" s="20" t="b">
        <f>Data!T326</f>
        <v>0</v>
      </c>
      <c r="S326" s="20" t="b">
        <f>Data!U326</f>
        <v>0</v>
      </c>
      <c r="T326" s="20" t="b">
        <f>Data!V326</f>
        <v>0</v>
      </c>
      <c r="U326" s="20" t="b">
        <f>Data!W326</f>
        <v>0</v>
      </c>
      <c r="V326" s="20" t="b">
        <f>Data!X326</f>
        <v>1</v>
      </c>
      <c r="W326" s="20" t="b">
        <f>Data!Y326</f>
        <v>1</v>
      </c>
      <c r="X326" s="20">
        <f>Data!Z326</f>
        <v>0</v>
      </c>
      <c r="Y326" s="22">
        <f>Data!AL326</f>
        <v>0</v>
      </c>
      <c r="Z326" s="20">
        <f>Data!AC326</f>
        <v>0</v>
      </c>
      <c r="AA326" s="20">
        <f>Data!AE326</f>
        <v>0</v>
      </c>
      <c r="AB326" s="20">
        <f>Data!AG326</f>
        <v>0</v>
      </c>
      <c r="AC326" s="20" t="str">
        <f>CONCATENATE(Data!AI326," ",Data!AJ326)</f>
        <v xml:space="preserve"> </v>
      </c>
    </row>
    <row r="327" spans="1:29" ht="15">
      <c r="A327" s="20" t="str">
        <f>Data!A327</f>
        <v>デモ機</v>
      </c>
      <c r="B327" s="20" t="str">
        <f>Data!C327</f>
        <v>Entire Organization</v>
      </c>
      <c r="C327" s="20" t="str">
        <f>IF(Data!E327=0,"",Data!E327)</f>
        <v/>
      </c>
      <c r="D327" s="26">
        <f t="shared" si="4"/>
        <v>42065.903050034722</v>
      </c>
      <c r="E327" s="27">
        <f>Data!F327</f>
        <v>42065.903050034722</v>
      </c>
      <c r="F327" s="20" t="str">
        <f>Data!G327</f>
        <v>EngineStatusRecord</v>
      </c>
      <c r="G327" s="20">
        <f>Data!H327</f>
        <v>0</v>
      </c>
      <c r="H327" s="20">
        <f>Data!I327</f>
        <v>0</v>
      </c>
      <c r="I327" s="20">
        <f>Data!J327</f>
        <v>0</v>
      </c>
      <c r="J327" s="21" t="str">
        <f>IF(Data!K327=0,"",Data!K327)</f>
        <v/>
      </c>
      <c r="K327" s="22">
        <f>Data!L327</f>
        <v>0</v>
      </c>
      <c r="L327" s="21" t="str">
        <f>IF(Data!N327=0,"",Data!N327)</f>
        <v/>
      </c>
      <c r="M327" s="20">
        <f>Data!O327</f>
        <v>0</v>
      </c>
      <c r="N327" s="20">
        <f>Data!P327</f>
        <v>0</v>
      </c>
      <c r="O327" s="20">
        <f>Data!Q327</f>
        <v>0</v>
      </c>
      <c r="P327" s="20">
        <f>Data!R327</f>
        <v>0</v>
      </c>
      <c r="Q327" s="20">
        <f>Data!S327</f>
        <v>0</v>
      </c>
      <c r="R327" s="20">
        <f>Data!T327</f>
        <v>0</v>
      </c>
      <c r="S327" s="20">
        <f>Data!U327</f>
        <v>0</v>
      </c>
      <c r="T327" s="20">
        <f>Data!V327</f>
        <v>0</v>
      </c>
      <c r="U327" s="20">
        <f>Data!W327</f>
        <v>0</v>
      </c>
      <c r="V327" s="20">
        <f>Data!X327</f>
        <v>0</v>
      </c>
      <c r="W327" s="20">
        <f>Data!Y327</f>
        <v>0</v>
      </c>
      <c r="X327" s="20">
        <f>Data!Z327</f>
        <v>0</v>
      </c>
      <c r="Y327" s="22">
        <f>Data!AL327</f>
        <v>0</v>
      </c>
      <c r="Z327" s="20" t="str">
        <f>Data!AC327</f>
        <v>Gear position</v>
      </c>
      <c r="AA327" s="20" t="str">
        <f>Data!AE327</f>
        <v/>
      </c>
      <c r="AB327" s="20">
        <f>Data!AG327</f>
        <v>0</v>
      </c>
      <c r="AC327" s="20" t="str">
        <f>CONCATENATE(Data!AI327," ",Data!AJ327)</f>
        <v xml:space="preserve">0 </v>
      </c>
    </row>
    <row r="328" spans="1:29" ht="15">
      <c r="A328" s="20" t="str">
        <f>Data!A328</f>
        <v>デモ機</v>
      </c>
      <c r="B328" s="20" t="str">
        <f>Data!C328</f>
        <v>Entire Organization</v>
      </c>
      <c r="C328" s="20" t="str">
        <f>IF(Data!E328=0,"",Data!E328)</f>
        <v/>
      </c>
      <c r="D328" s="26">
        <f t="shared" si="4"/>
        <v>42065.903055555558</v>
      </c>
      <c r="E328" s="27">
        <f>Data!F328</f>
        <v>42065.903055555558</v>
      </c>
      <c r="F328" s="20" t="str">
        <f>Data!G328</f>
        <v>GpsRecord</v>
      </c>
      <c r="G328" s="20">
        <f>Data!H328</f>
        <v>1</v>
      </c>
      <c r="H328" s="20">
        <f>Data!I328</f>
        <v>139.39474999999999</v>
      </c>
      <c r="I328" s="20">
        <f>Data!J328</f>
        <v>35.586069999999999</v>
      </c>
      <c r="J328" s="21" t="str">
        <f>IF(Data!K328=0,"",Data!K328)</f>
        <v>日本, 〒194-0213 東京都町田市常盤町 町田街道</v>
      </c>
      <c r="K328" s="22">
        <f>Data!L328</f>
        <v>0</v>
      </c>
      <c r="L328" s="21" t="str">
        <f>IF(Data!N328=0,"",Data!N328)</f>
        <v>CurveZeroSpeed</v>
      </c>
      <c r="M328" s="20" t="b">
        <f>Data!O328</f>
        <v>1</v>
      </c>
      <c r="N328" s="20" t="b">
        <f>Data!P328</f>
        <v>0</v>
      </c>
      <c r="O328" s="20" t="b">
        <f>Data!Q328</f>
        <v>0</v>
      </c>
      <c r="P328" s="20" t="b">
        <f>Data!R328</f>
        <v>0</v>
      </c>
      <c r="Q328" s="20" t="b">
        <f>Data!S328</f>
        <v>0</v>
      </c>
      <c r="R328" s="20" t="b">
        <f>Data!T328</f>
        <v>0</v>
      </c>
      <c r="S328" s="20" t="b">
        <f>Data!U328</f>
        <v>0</v>
      </c>
      <c r="T328" s="20" t="b">
        <f>Data!V328</f>
        <v>0</v>
      </c>
      <c r="U328" s="20" t="b">
        <f>Data!W328</f>
        <v>0</v>
      </c>
      <c r="V328" s="20" t="b">
        <f>Data!X328</f>
        <v>1</v>
      </c>
      <c r="W328" s="20" t="b">
        <f>Data!Y328</f>
        <v>1</v>
      </c>
      <c r="X328" s="20">
        <f>Data!Z328</f>
        <v>0</v>
      </c>
      <c r="Y328" s="22">
        <f>Data!AL328</f>
        <v>0</v>
      </c>
      <c r="Z328" s="20">
        <f>Data!AC328</f>
        <v>0</v>
      </c>
      <c r="AA328" s="20">
        <f>Data!AE328</f>
        <v>0</v>
      </c>
      <c r="AB328" s="20">
        <f>Data!AG328</f>
        <v>0</v>
      </c>
      <c r="AC328" s="20" t="str">
        <f>CONCATENATE(Data!AI328," ",Data!AJ328)</f>
        <v xml:space="preserve"> </v>
      </c>
    </row>
    <row r="329" spans="1:29" ht="15">
      <c r="A329" s="20" t="str">
        <f>Data!A329</f>
        <v>デモ機</v>
      </c>
      <c r="B329" s="20" t="str">
        <f>Data!C329</f>
        <v>Entire Organization</v>
      </c>
      <c r="C329" s="20" t="str">
        <f>IF(Data!E329=0,"",Data!E329)</f>
        <v/>
      </c>
      <c r="D329" s="26">
        <f t="shared" ref="D329:D392" si="5">E329</f>
        <v>42065.903078854164</v>
      </c>
      <c r="E329" s="27">
        <f>Data!F329</f>
        <v>42065.903078854164</v>
      </c>
      <c r="F329" s="20" t="str">
        <f>Data!G329</f>
        <v>EngineStatusRecord</v>
      </c>
      <c r="G329" s="20">
        <f>Data!H329</f>
        <v>0</v>
      </c>
      <c r="H329" s="20">
        <f>Data!I329</f>
        <v>0</v>
      </c>
      <c r="I329" s="20">
        <f>Data!J329</f>
        <v>0</v>
      </c>
      <c r="J329" s="21" t="str">
        <f>IF(Data!K329=0,"",Data!K329)</f>
        <v/>
      </c>
      <c r="K329" s="22">
        <f>Data!L329</f>
        <v>0</v>
      </c>
      <c r="L329" s="21" t="str">
        <f>IF(Data!N329=0,"",Data!N329)</f>
        <v/>
      </c>
      <c r="M329" s="20">
        <f>Data!O329</f>
        <v>0</v>
      </c>
      <c r="N329" s="20">
        <f>Data!P329</f>
        <v>0</v>
      </c>
      <c r="O329" s="20">
        <f>Data!Q329</f>
        <v>0</v>
      </c>
      <c r="P329" s="20">
        <f>Data!R329</f>
        <v>0</v>
      </c>
      <c r="Q329" s="20">
        <f>Data!S329</f>
        <v>0</v>
      </c>
      <c r="R329" s="20">
        <f>Data!T329</f>
        <v>0</v>
      </c>
      <c r="S329" s="20">
        <f>Data!U329</f>
        <v>0</v>
      </c>
      <c r="T329" s="20">
        <f>Data!V329</f>
        <v>0</v>
      </c>
      <c r="U329" s="20">
        <f>Data!W329</f>
        <v>0</v>
      </c>
      <c r="V329" s="20">
        <f>Data!X329</f>
        <v>0</v>
      </c>
      <c r="W329" s="20">
        <f>Data!Y329</f>
        <v>0</v>
      </c>
      <c r="X329" s="20">
        <f>Data!Z329</f>
        <v>0</v>
      </c>
      <c r="Y329" s="22">
        <f>Data!AL329</f>
        <v>0</v>
      </c>
      <c r="Z329" s="20" t="str">
        <f>Data!AC329</f>
        <v>Engine RPM</v>
      </c>
      <c r="AA329" s="20" t="str">
        <f>Data!AE329</f>
        <v/>
      </c>
      <c r="AB329" s="20">
        <f>Data!AG329</f>
        <v>0</v>
      </c>
      <c r="AC329" s="20" t="str">
        <f>CONCATENATE(Data!AI329," ",Data!AJ329)</f>
        <v>779 RPM</v>
      </c>
    </row>
    <row r="330" spans="1:29" ht="15">
      <c r="A330" s="20" t="str">
        <f>Data!A330</f>
        <v>デモ機</v>
      </c>
      <c r="B330" s="20" t="str">
        <f>Data!C330</f>
        <v>Entire Organization</v>
      </c>
      <c r="C330" s="20" t="str">
        <f>IF(Data!E330=0,"",Data!E330)</f>
        <v/>
      </c>
      <c r="D330" s="26">
        <f t="shared" si="5"/>
        <v>42065.903097187504</v>
      </c>
      <c r="E330" s="27">
        <f>Data!F330</f>
        <v>42065.903097187504</v>
      </c>
      <c r="F330" s="20" t="str">
        <f>Data!G330</f>
        <v>EngineStatusRecord</v>
      </c>
      <c r="G330" s="20">
        <f>Data!H330</f>
        <v>0</v>
      </c>
      <c r="H330" s="20">
        <f>Data!I330</f>
        <v>0</v>
      </c>
      <c r="I330" s="20">
        <f>Data!J330</f>
        <v>0</v>
      </c>
      <c r="J330" s="21" t="str">
        <f>IF(Data!K330=0,"",Data!K330)</f>
        <v/>
      </c>
      <c r="K330" s="22">
        <f>Data!L330</f>
        <v>0</v>
      </c>
      <c r="L330" s="21" t="str">
        <f>IF(Data!N330=0,"",Data!N330)</f>
        <v/>
      </c>
      <c r="M330" s="20">
        <f>Data!O330</f>
        <v>0</v>
      </c>
      <c r="N330" s="20">
        <f>Data!P330</f>
        <v>0</v>
      </c>
      <c r="O330" s="20">
        <f>Data!Q330</f>
        <v>0</v>
      </c>
      <c r="P330" s="20">
        <f>Data!R330</f>
        <v>0</v>
      </c>
      <c r="Q330" s="20">
        <f>Data!S330</f>
        <v>0</v>
      </c>
      <c r="R330" s="20">
        <f>Data!T330</f>
        <v>0</v>
      </c>
      <c r="S330" s="20">
        <f>Data!U330</f>
        <v>0</v>
      </c>
      <c r="T330" s="20">
        <f>Data!V330</f>
        <v>0</v>
      </c>
      <c r="U330" s="20">
        <f>Data!W330</f>
        <v>0</v>
      </c>
      <c r="V330" s="20">
        <f>Data!X330</f>
        <v>0</v>
      </c>
      <c r="W330" s="20">
        <f>Data!Y330</f>
        <v>0</v>
      </c>
      <c r="X330" s="20">
        <f>Data!Z330</f>
        <v>0</v>
      </c>
      <c r="Y330" s="22">
        <f>Data!AL330</f>
        <v>0</v>
      </c>
      <c r="Z330" s="20" t="str">
        <f>Data!AC330</f>
        <v>Acceleration forward or braking</v>
      </c>
      <c r="AA330" s="20" t="str">
        <f>Data!AE330</f>
        <v/>
      </c>
      <c r="AB330" s="20">
        <f>Data!AG330</f>
        <v>0</v>
      </c>
      <c r="AC330" s="20" t="str">
        <f>CONCATENATE(Data!AI330," ",Data!AJ330)</f>
        <v>1.94171702861785 m/s^2</v>
      </c>
    </row>
    <row r="331" spans="1:29" ht="15">
      <c r="A331" s="20" t="str">
        <f>Data!A331</f>
        <v>デモ機</v>
      </c>
      <c r="B331" s="20" t="str">
        <f>Data!C331</f>
        <v>Entire Organization</v>
      </c>
      <c r="C331" s="20" t="str">
        <f>IF(Data!E331=0,"",Data!E331)</f>
        <v/>
      </c>
      <c r="D331" s="26">
        <f t="shared" si="5"/>
        <v>42065.903097187504</v>
      </c>
      <c r="E331" s="27">
        <f>Data!F331</f>
        <v>42065.903097187504</v>
      </c>
      <c r="F331" s="20" t="str">
        <f>Data!G331</f>
        <v>EngineStatusRecord</v>
      </c>
      <c r="G331" s="20">
        <f>Data!H331</f>
        <v>0</v>
      </c>
      <c r="H331" s="20">
        <f>Data!I331</f>
        <v>0</v>
      </c>
      <c r="I331" s="20">
        <f>Data!J331</f>
        <v>0</v>
      </c>
      <c r="J331" s="21" t="str">
        <f>IF(Data!K331=0,"",Data!K331)</f>
        <v/>
      </c>
      <c r="K331" s="22">
        <f>Data!L331</f>
        <v>0</v>
      </c>
      <c r="L331" s="21" t="str">
        <f>IF(Data!N331=0,"",Data!N331)</f>
        <v/>
      </c>
      <c r="M331" s="20">
        <f>Data!O331</f>
        <v>0</v>
      </c>
      <c r="N331" s="20">
        <f>Data!P331</f>
        <v>0</v>
      </c>
      <c r="O331" s="20">
        <f>Data!Q331</f>
        <v>0</v>
      </c>
      <c r="P331" s="20">
        <f>Data!R331</f>
        <v>0</v>
      </c>
      <c r="Q331" s="20">
        <f>Data!S331</f>
        <v>0</v>
      </c>
      <c r="R331" s="20">
        <f>Data!T331</f>
        <v>0</v>
      </c>
      <c r="S331" s="20">
        <f>Data!U331</f>
        <v>0</v>
      </c>
      <c r="T331" s="20">
        <f>Data!V331</f>
        <v>0</v>
      </c>
      <c r="U331" s="20">
        <f>Data!W331</f>
        <v>0</v>
      </c>
      <c r="V331" s="20">
        <f>Data!X331</f>
        <v>0</v>
      </c>
      <c r="W331" s="20">
        <f>Data!Y331</f>
        <v>0</v>
      </c>
      <c r="X331" s="20">
        <f>Data!Z331</f>
        <v>0</v>
      </c>
      <c r="Y331" s="22">
        <f>Data!AL331</f>
        <v>0</v>
      </c>
      <c r="Z331" s="20" t="str">
        <f>Data!AC331</f>
        <v>Acceleration up down</v>
      </c>
      <c r="AA331" s="20" t="str">
        <f>Data!AE331</f>
        <v/>
      </c>
      <c r="AB331" s="20">
        <f>Data!AG331</f>
        <v>0</v>
      </c>
      <c r="AC331" s="20" t="str">
        <f>CONCATENATE(Data!AI331," ",Data!AJ331)</f>
        <v>9.53206253051757 m/s^2</v>
      </c>
    </row>
    <row r="332" spans="1:29" ht="15">
      <c r="A332" s="20" t="str">
        <f>Data!A332</f>
        <v>デモ機</v>
      </c>
      <c r="B332" s="20" t="str">
        <f>Data!C332</f>
        <v>Entire Organization</v>
      </c>
      <c r="C332" s="20" t="str">
        <f>IF(Data!E332=0,"",Data!E332)</f>
        <v/>
      </c>
      <c r="D332" s="26">
        <f t="shared" si="5"/>
        <v>42065.903097187504</v>
      </c>
      <c r="E332" s="27">
        <f>Data!F332</f>
        <v>42065.903097187504</v>
      </c>
      <c r="F332" s="20" t="str">
        <f>Data!G332</f>
        <v>EngineStatusRecord</v>
      </c>
      <c r="G332" s="20">
        <f>Data!H332</f>
        <v>0</v>
      </c>
      <c r="H332" s="20">
        <f>Data!I332</f>
        <v>0</v>
      </c>
      <c r="I332" s="20">
        <f>Data!J332</f>
        <v>0</v>
      </c>
      <c r="J332" s="21" t="str">
        <f>IF(Data!K332=0,"",Data!K332)</f>
        <v/>
      </c>
      <c r="K332" s="22">
        <f>Data!L332</f>
        <v>0</v>
      </c>
      <c r="L332" s="21" t="str">
        <f>IF(Data!N332=0,"",Data!N332)</f>
        <v/>
      </c>
      <c r="M332" s="20">
        <f>Data!O332</f>
        <v>0</v>
      </c>
      <c r="N332" s="20">
        <f>Data!P332</f>
        <v>0</v>
      </c>
      <c r="O332" s="20">
        <f>Data!Q332</f>
        <v>0</v>
      </c>
      <c r="P332" s="20">
        <f>Data!R332</f>
        <v>0</v>
      </c>
      <c r="Q332" s="20">
        <f>Data!S332</f>
        <v>0</v>
      </c>
      <c r="R332" s="20">
        <f>Data!T332</f>
        <v>0</v>
      </c>
      <c r="S332" s="20">
        <f>Data!U332</f>
        <v>0</v>
      </c>
      <c r="T332" s="20">
        <f>Data!V332</f>
        <v>0</v>
      </c>
      <c r="U332" s="20">
        <f>Data!W332</f>
        <v>0</v>
      </c>
      <c r="V332" s="20">
        <f>Data!X332</f>
        <v>0</v>
      </c>
      <c r="W332" s="20">
        <f>Data!Y332</f>
        <v>0</v>
      </c>
      <c r="X332" s="20">
        <f>Data!Z332</f>
        <v>0</v>
      </c>
      <c r="Y332" s="22">
        <f>Data!AL332</f>
        <v>0</v>
      </c>
      <c r="Z332" s="20" t="str">
        <f>Data!AC332</f>
        <v>Acceleration side to side</v>
      </c>
      <c r="AA332" s="20" t="str">
        <f>Data!AE332</f>
        <v/>
      </c>
      <c r="AB332" s="20">
        <f>Data!AG332</f>
        <v>0</v>
      </c>
      <c r="AC332" s="20" t="str">
        <f>CONCATENATE(Data!AI332," ",Data!AJ332)</f>
        <v>-0.353039413690567 m/s^2</v>
      </c>
    </row>
    <row r="333" spans="1:29" ht="15">
      <c r="A333" s="20" t="str">
        <f>Data!A333</f>
        <v>デモ機</v>
      </c>
      <c r="B333" s="20" t="str">
        <f>Data!C333</f>
        <v>Entire Organization</v>
      </c>
      <c r="C333" s="20" t="str">
        <f>IF(Data!E333=0,"",Data!E333)</f>
        <v/>
      </c>
      <c r="D333" s="26">
        <f t="shared" si="5"/>
        <v>42065.90314829861</v>
      </c>
      <c r="E333" s="27">
        <f>Data!F333</f>
        <v>42065.90314829861</v>
      </c>
      <c r="F333" s="20" t="str">
        <f>Data!G333</f>
        <v>EngineStatusRecord</v>
      </c>
      <c r="G333" s="20">
        <f>Data!H333</f>
        <v>0</v>
      </c>
      <c r="H333" s="20">
        <f>Data!I333</f>
        <v>0</v>
      </c>
      <c r="I333" s="20">
        <f>Data!J333</f>
        <v>0</v>
      </c>
      <c r="J333" s="21" t="str">
        <f>IF(Data!K333=0,"",Data!K333)</f>
        <v/>
      </c>
      <c r="K333" s="22">
        <f>Data!L333</f>
        <v>0</v>
      </c>
      <c r="L333" s="21" t="str">
        <f>IF(Data!N333=0,"",Data!N333)</f>
        <v/>
      </c>
      <c r="M333" s="20">
        <f>Data!O333</f>
        <v>0</v>
      </c>
      <c r="N333" s="20">
        <f>Data!P333</f>
        <v>0</v>
      </c>
      <c r="O333" s="20">
        <f>Data!Q333</f>
        <v>0</v>
      </c>
      <c r="P333" s="20">
        <f>Data!R333</f>
        <v>0</v>
      </c>
      <c r="Q333" s="20">
        <f>Data!S333</f>
        <v>0</v>
      </c>
      <c r="R333" s="20">
        <f>Data!T333</f>
        <v>0</v>
      </c>
      <c r="S333" s="20">
        <f>Data!U333</f>
        <v>0</v>
      </c>
      <c r="T333" s="20">
        <f>Data!V333</f>
        <v>0</v>
      </c>
      <c r="U333" s="20">
        <f>Data!W333</f>
        <v>0</v>
      </c>
      <c r="V333" s="20">
        <f>Data!X333</f>
        <v>0</v>
      </c>
      <c r="W333" s="20">
        <f>Data!Y333</f>
        <v>0</v>
      </c>
      <c r="X333" s="20">
        <f>Data!Z333</f>
        <v>0</v>
      </c>
      <c r="Y333" s="22">
        <f>Data!AL333</f>
        <v>0</v>
      </c>
      <c r="Z333" s="20" t="str">
        <f>Data!AC333</f>
        <v>Engine RPM</v>
      </c>
      <c r="AA333" s="20" t="str">
        <f>Data!AE333</f>
        <v/>
      </c>
      <c r="AB333" s="20">
        <f>Data!AG333</f>
        <v>0</v>
      </c>
      <c r="AC333" s="20" t="str">
        <f>CONCATENATE(Data!AI333," ",Data!AJ333)</f>
        <v>2051.75 RPM</v>
      </c>
    </row>
    <row r="334" spans="1:29" ht="15">
      <c r="A334" s="20" t="str">
        <f>Data!A334</f>
        <v>デモ機</v>
      </c>
      <c r="B334" s="20" t="str">
        <f>Data!C334</f>
        <v>Entire Organization</v>
      </c>
      <c r="C334" s="20" t="str">
        <f>IF(Data!E334=0,"",Data!E334)</f>
        <v/>
      </c>
      <c r="D334" s="26">
        <f t="shared" si="5"/>
        <v>42065.903171759259</v>
      </c>
      <c r="E334" s="27">
        <f>Data!F334</f>
        <v>42065.903171759259</v>
      </c>
      <c r="F334" s="20" t="str">
        <f>Data!G334</f>
        <v>EngineStatusRecord</v>
      </c>
      <c r="G334" s="20">
        <f>Data!H334</f>
        <v>0</v>
      </c>
      <c r="H334" s="20">
        <f>Data!I334</f>
        <v>0</v>
      </c>
      <c r="I334" s="20">
        <f>Data!J334</f>
        <v>0</v>
      </c>
      <c r="J334" s="21" t="str">
        <f>IF(Data!K334=0,"",Data!K334)</f>
        <v/>
      </c>
      <c r="K334" s="22">
        <f>Data!L334</f>
        <v>0</v>
      </c>
      <c r="L334" s="21" t="str">
        <f>IF(Data!N334=0,"",Data!N334)</f>
        <v/>
      </c>
      <c r="M334" s="20">
        <f>Data!O334</f>
        <v>0</v>
      </c>
      <c r="N334" s="20">
        <f>Data!P334</f>
        <v>0</v>
      </c>
      <c r="O334" s="20">
        <f>Data!Q334</f>
        <v>0</v>
      </c>
      <c r="P334" s="20">
        <f>Data!R334</f>
        <v>0</v>
      </c>
      <c r="Q334" s="20">
        <f>Data!S334</f>
        <v>0</v>
      </c>
      <c r="R334" s="20">
        <f>Data!T334</f>
        <v>0</v>
      </c>
      <c r="S334" s="20">
        <f>Data!U334</f>
        <v>0</v>
      </c>
      <c r="T334" s="20">
        <f>Data!V334</f>
        <v>0</v>
      </c>
      <c r="U334" s="20">
        <f>Data!W334</f>
        <v>0</v>
      </c>
      <c r="V334" s="20">
        <f>Data!X334</f>
        <v>0</v>
      </c>
      <c r="W334" s="20">
        <f>Data!Y334</f>
        <v>0</v>
      </c>
      <c r="X334" s="20">
        <f>Data!Z334</f>
        <v>0</v>
      </c>
      <c r="Y334" s="22">
        <f>Data!AL334</f>
        <v>0</v>
      </c>
      <c r="Z334" s="20" t="str">
        <f>Data!AC334</f>
        <v>Engine RPM</v>
      </c>
      <c r="AA334" s="20" t="str">
        <f>Data!AE334</f>
        <v/>
      </c>
      <c r="AB334" s="20">
        <f>Data!AG334</f>
        <v>0</v>
      </c>
      <c r="AC334" s="20" t="str">
        <f>CONCATENATE(Data!AI334," ",Data!AJ334)</f>
        <v>1182.75 RPM</v>
      </c>
    </row>
    <row r="335" spans="1:29" ht="15">
      <c r="A335" s="20" t="str">
        <f>Data!A335</f>
        <v>デモ機</v>
      </c>
      <c r="B335" s="20" t="str">
        <f>Data!C335</f>
        <v>Entire Organization</v>
      </c>
      <c r="C335" s="20" t="str">
        <f>IF(Data!E335=0,"",Data!E335)</f>
        <v/>
      </c>
      <c r="D335" s="26">
        <f t="shared" si="5"/>
        <v>42065.903248842595</v>
      </c>
      <c r="E335" s="27">
        <f>Data!F335</f>
        <v>42065.903248842595</v>
      </c>
      <c r="F335" s="20" t="str">
        <f>Data!G335</f>
        <v>EngineStatusRecord</v>
      </c>
      <c r="G335" s="20">
        <f>Data!H335</f>
        <v>0</v>
      </c>
      <c r="H335" s="20">
        <f>Data!I335</f>
        <v>0</v>
      </c>
      <c r="I335" s="20">
        <f>Data!J335</f>
        <v>0</v>
      </c>
      <c r="J335" s="21" t="str">
        <f>IF(Data!K335=0,"",Data!K335)</f>
        <v/>
      </c>
      <c r="K335" s="22">
        <f>Data!L335</f>
        <v>0</v>
      </c>
      <c r="L335" s="21" t="str">
        <f>IF(Data!N335=0,"",Data!N335)</f>
        <v/>
      </c>
      <c r="M335" s="20">
        <f>Data!O335</f>
        <v>0</v>
      </c>
      <c r="N335" s="20">
        <f>Data!P335</f>
        <v>0</v>
      </c>
      <c r="O335" s="20">
        <f>Data!Q335</f>
        <v>0</v>
      </c>
      <c r="P335" s="20">
        <f>Data!R335</f>
        <v>0</v>
      </c>
      <c r="Q335" s="20">
        <f>Data!S335</f>
        <v>0</v>
      </c>
      <c r="R335" s="20">
        <f>Data!T335</f>
        <v>0</v>
      </c>
      <c r="S335" s="20">
        <f>Data!U335</f>
        <v>0</v>
      </c>
      <c r="T335" s="20">
        <f>Data!V335</f>
        <v>0</v>
      </c>
      <c r="U335" s="20">
        <f>Data!W335</f>
        <v>0</v>
      </c>
      <c r="V335" s="20">
        <f>Data!X335</f>
        <v>0</v>
      </c>
      <c r="W335" s="20">
        <f>Data!Y335</f>
        <v>0</v>
      </c>
      <c r="X335" s="20">
        <f>Data!Z335</f>
        <v>0</v>
      </c>
      <c r="Y335" s="22">
        <f>Data!AL335</f>
        <v>0</v>
      </c>
      <c r="Z335" s="20" t="str">
        <f>Data!AC335</f>
        <v>Telematics device voltage</v>
      </c>
      <c r="AA335" s="20" t="str">
        <f>Data!AE335</f>
        <v/>
      </c>
      <c r="AB335" s="20">
        <f>Data!AG335</f>
        <v>0</v>
      </c>
      <c r="AC335" s="20" t="str">
        <f>CONCATENATE(Data!AI335," ",Data!AJ335)</f>
        <v>14.217555 V</v>
      </c>
    </row>
    <row r="336" spans="1:29" ht="15">
      <c r="A336" s="20" t="str">
        <f>Data!A336</f>
        <v>デモ機</v>
      </c>
      <c r="B336" s="20" t="str">
        <f>Data!C336</f>
        <v>Entire Organization</v>
      </c>
      <c r="C336" s="20" t="str">
        <f>IF(Data!E336=0,"",Data!E336)</f>
        <v/>
      </c>
      <c r="D336" s="26">
        <f t="shared" si="5"/>
        <v>42065.903310185182</v>
      </c>
      <c r="E336" s="27">
        <f>Data!F336</f>
        <v>42065.903310185182</v>
      </c>
      <c r="F336" s="20" t="str">
        <f>Data!G336</f>
        <v>GpsRecord</v>
      </c>
      <c r="G336" s="20">
        <f>Data!H336</f>
        <v>44</v>
      </c>
      <c r="H336" s="20">
        <f>Data!I336</f>
        <v>139.39633000000001</v>
      </c>
      <c r="I336" s="20">
        <f>Data!J336</f>
        <v>35.585610000000003</v>
      </c>
      <c r="J336" s="21" t="str">
        <f>IF(Data!K336=0,"",Data!K336)</f>
        <v>日本, 〒194-0213 東京都町田市常盤町 町田街道</v>
      </c>
      <c r="K336" s="22">
        <f>Data!L336</f>
        <v>0</v>
      </c>
      <c r="L336" s="21" t="str">
        <f>IF(Data!N336=0,"",Data!N336)</f>
        <v>CurveSpeed</v>
      </c>
      <c r="M336" s="20" t="b">
        <f>Data!O336</f>
        <v>1</v>
      </c>
      <c r="N336" s="20" t="b">
        <f>Data!P336</f>
        <v>0</v>
      </c>
      <c r="O336" s="20" t="b">
        <f>Data!Q336</f>
        <v>0</v>
      </c>
      <c r="P336" s="20" t="b">
        <f>Data!R336</f>
        <v>0</v>
      </c>
      <c r="Q336" s="20" t="b">
        <f>Data!S336</f>
        <v>0</v>
      </c>
      <c r="R336" s="20" t="b">
        <f>Data!T336</f>
        <v>0</v>
      </c>
      <c r="S336" s="20" t="b">
        <f>Data!U336</f>
        <v>0</v>
      </c>
      <c r="T336" s="20" t="b">
        <f>Data!V336</f>
        <v>0</v>
      </c>
      <c r="U336" s="20" t="b">
        <f>Data!W336</f>
        <v>0</v>
      </c>
      <c r="V336" s="20" t="b">
        <f>Data!X336</f>
        <v>1</v>
      </c>
      <c r="W336" s="20" t="b">
        <f>Data!Y336</f>
        <v>1</v>
      </c>
      <c r="X336" s="20">
        <f>Data!Z336</f>
        <v>0</v>
      </c>
      <c r="Y336" s="22">
        <f>Data!AL336</f>
        <v>0</v>
      </c>
      <c r="Z336" s="20">
        <f>Data!AC336</f>
        <v>0</v>
      </c>
      <c r="AA336" s="20">
        <f>Data!AE336</f>
        <v>0</v>
      </c>
      <c r="AB336" s="20">
        <f>Data!AG336</f>
        <v>0</v>
      </c>
      <c r="AC336" s="20" t="str">
        <f>CONCATENATE(Data!AI336," ",Data!AJ336)</f>
        <v xml:space="preserve"> </v>
      </c>
    </row>
    <row r="337" spans="1:29" ht="15">
      <c r="A337" s="20" t="str">
        <f>Data!A337</f>
        <v>デモ機</v>
      </c>
      <c r="B337" s="20" t="str">
        <f>Data!C337</f>
        <v>Entire Organization</v>
      </c>
      <c r="C337" s="20" t="str">
        <f>IF(Data!E337=0,"",Data!E337)</f>
        <v/>
      </c>
      <c r="D337" s="26">
        <f t="shared" si="5"/>
        <v>42065.903364583333</v>
      </c>
      <c r="E337" s="27">
        <f>Data!F337</f>
        <v>42065.903364583333</v>
      </c>
      <c r="F337" s="20" t="str">
        <f>Data!G337</f>
        <v>EngineStatusRecord</v>
      </c>
      <c r="G337" s="20">
        <f>Data!H337</f>
        <v>0</v>
      </c>
      <c r="H337" s="20">
        <f>Data!I337</f>
        <v>0</v>
      </c>
      <c r="I337" s="20">
        <f>Data!J337</f>
        <v>0</v>
      </c>
      <c r="J337" s="21" t="str">
        <f>IF(Data!K337=0,"",Data!K337)</f>
        <v/>
      </c>
      <c r="K337" s="22">
        <f>Data!L337</f>
        <v>0</v>
      </c>
      <c r="L337" s="21" t="str">
        <f>IF(Data!N337=0,"",Data!N337)</f>
        <v/>
      </c>
      <c r="M337" s="20">
        <f>Data!O337</f>
        <v>0</v>
      </c>
      <c r="N337" s="20">
        <f>Data!P337</f>
        <v>0</v>
      </c>
      <c r="O337" s="20">
        <f>Data!Q337</f>
        <v>0</v>
      </c>
      <c r="P337" s="20">
        <f>Data!R337</f>
        <v>0</v>
      </c>
      <c r="Q337" s="20">
        <f>Data!S337</f>
        <v>0</v>
      </c>
      <c r="R337" s="20">
        <f>Data!T337</f>
        <v>0</v>
      </c>
      <c r="S337" s="20">
        <f>Data!U337</f>
        <v>0</v>
      </c>
      <c r="T337" s="20">
        <f>Data!V337</f>
        <v>0</v>
      </c>
      <c r="U337" s="20">
        <f>Data!W337</f>
        <v>0</v>
      </c>
      <c r="V337" s="20">
        <f>Data!X337</f>
        <v>0</v>
      </c>
      <c r="W337" s="20">
        <f>Data!Y337</f>
        <v>0</v>
      </c>
      <c r="X337" s="20">
        <f>Data!Z337</f>
        <v>0</v>
      </c>
      <c r="Y337" s="22">
        <f>Data!AL337</f>
        <v>0</v>
      </c>
      <c r="Z337" s="20" t="str">
        <f>Data!AC337</f>
        <v>Telematics device voltage</v>
      </c>
      <c r="AA337" s="20" t="str">
        <f>Data!AE337</f>
        <v/>
      </c>
      <c r="AB337" s="20">
        <f>Data!AG337</f>
        <v>0</v>
      </c>
      <c r="AC337" s="20" t="str">
        <f>CONCATENATE(Data!AI337," ",Data!AJ337)</f>
        <v>13.2515554 V</v>
      </c>
    </row>
    <row r="338" spans="1:29" ht="15">
      <c r="A338" s="20" t="str">
        <f>Data!A338</f>
        <v>デモ機</v>
      </c>
      <c r="B338" s="20" t="str">
        <f>Data!C338</f>
        <v>Entire Organization</v>
      </c>
      <c r="C338" s="20" t="str">
        <f>IF(Data!E338=0,"",Data!E338)</f>
        <v/>
      </c>
      <c r="D338" s="26">
        <f t="shared" si="5"/>
        <v>42065.903454363426</v>
      </c>
      <c r="E338" s="27">
        <f>Data!F338</f>
        <v>42065.903454363426</v>
      </c>
      <c r="F338" s="20" t="str">
        <f>Data!G338</f>
        <v>EngineStatusRecord</v>
      </c>
      <c r="G338" s="20">
        <f>Data!H338</f>
        <v>0</v>
      </c>
      <c r="H338" s="20">
        <f>Data!I338</f>
        <v>0</v>
      </c>
      <c r="I338" s="20">
        <f>Data!J338</f>
        <v>0</v>
      </c>
      <c r="J338" s="21" t="str">
        <f>IF(Data!K338=0,"",Data!K338)</f>
        <v/>
      </c>
      <c r="K338" s="22">
        <f>Data!L338</f>
        <v>0</v>
      </c>
      <c r="L338" s="21" t="str">
        <f>IF(Data!N338=0,"",Data!N338)</f>
        <v/>
      </c>
      <c r="M338" s="20">
        <f>Data!O338</f>
        <v>0</v>
      </c>
      <c r="N338" s="20">
        <f>Data!P338</f>
        <v>0</v>
      </c>
      <c r="O338" s="20">
        <f>Data!Q338</f>
        <v>0</v>
      </c>
      <c r="P338" s="20">
        <f>Data!R338</f>
        <v>0</v>
      </c>
      <c r="Q338" s="20">
        <f>Data!S338</f>
        <v>0</v>
      </c>
      <c r="R338" s="20">
        <f>Data!T338</f>
        <v>0</v>
      </c>
      <c r="S338" s="20">
        <f>Data!U338</f>
        <v>0</v>
      </c>
      <c r="T338" s="20">
        <f>Data!V338</f>
        <v>0</v>
      </c>
      <c r="U338" s="20">
        <f>Data!W338</f>
        <v>0</v>
      </c>
      <c r="V338" s="20">
        <f>Data!X338</f>
        <v>0</v>
      </c>
      <c r="W338" s="20">
        <f>Data!Y338</f>
        <v>0</v>
      </c>
      <c r="X338" s="20">
        <f>Data!Z338</f>
        <v>0</v>
      </c>
      <c r="Y338" s="22">
        <f>Data!AL338</f>
        <v>0</v>
      </c>
      <c r="Z338" s="20" t="str">
        <f>Data!AC338</f>
        <v>Engine coolant temperature</v>
      </c>
      <c r="AA338" s="20" t="str">
        <f>Data!AE338</f>
        <v/>
      </c>
      <c r="AB338" s="20">
        <f>Data!AG338</f>
        <v>0</v>
      </c>
      <c r="AC338" s="20" t="str">
        <f>CONCATENATE(Data!AI338," ",Data!AJ338)</f>
        <v>59 C</v>
      </c>
    </row>
    <row r="339" spans="1:29" ht="15">
      <c r="A339" s="20" t="str">
        <f>Data!A339</f>
        <v>デモ機</v>
      </c>
      <c r="B339" s="20" t="str">
        <f>Data!C339</f>
        <v>Entire Organization</v>
      </c>
      <c r="C339" s="20" t="str">
        <f>IF(Data!E339=0,"",Data!E339)</f>
        <v/>
      </c>
      <c r="D339" s="26">
        <f t="shared" si="5"/>
        <v>42065.903480324072</v>
      </c>
      <c r="E339" s="27">
        <f>Data!F339</f>
        <v>42065.903480324072</v>
      </c>
      <c r="F339" s="20" t="str">
        <f>Data!G339</f>
        <v>EngineStatusRecord</v>
      </c>
      <c r="G339" s="20">
        <f>Data!H339</f>
        <v>0</v>
      </c>
      <c r="H339" s="20">
        <f>Data!I339</f>
        <v>0</v>
      </c>
      <c r="I339" s="20">
        <f>Data!J339</f>
        <v>0</v>
      </c>
      <c r="J339" s="21" t="str">
        <f>IF(Data!K339=0,"",Data!K339)</f>
        <v/>
      </c>
      <c r="K339" s="22">
        <f>Data!L339</f>
        <v>0</v>
      </c>
      <c r="L339" s="21" t="str">
        <f>IF(Data!N339=0,"",Data!N339)</f>
        <v/>
      </c>
      <c r="M339" s="20">
        <f>Data!O339</f>
        <v>0</v>
      </c>
      <c r="N339" s="20">
        <f>Data!P339</f>
        <v>0</v>
      </c>
      <c r="O339" s="20">
        <f>Data!Q339</f>
        <v>0</v>
      </c>
      <c r="P339" s="20">
        <f>Data!R339</f>
        <v>0</v>
      </c>
      <c r="Q339" s="20">
        <f>Data!S339</f>
        <v>0</v>
      </c>
      <c r="R339" s="20">
        <f>Data!T339</f>
        <v>0</v>
      </c>
      <c r="S339" s="20">
        <f>Data!U339</f>
        <v>0</v>
      </c>
      <c r="T339" s="20">
        <f>Data!V339</f>
        <v>0</v>
      </c>
      <c r="U339" s="20">
        <f>Data!W339</f>
        <v>0</v>
      </c>
      <c r="V339" s="20">
        <f>Data!X339</f>
        <v>0</v>
      </c>
      <c r="W339" s="20">
        <f>Data!Y339</f>
        <v>0</v>
      </c>
      <c r="X339" s="20">
        <f>Data!Z339</f>
        <v>0</v>
      </c>
      <c r="Y339" s="22">
        <f>Data!AL339</f>
        <v>0</v>
      </c>
      <c r="Z339" s="20" t="str">
        <f>Data!AC339</f>
        <v>Telematics device voltage</v>
      </c>
      <c r="AA339" s="20" t="str">
        <f>Data!AE339</f>
        <v/>
      </c>
      <c r="AB339" s="20">
        <f>Data!AG339</f>
        <v>0</v>
      </c>
      <c r="AC339" s="20" t="str">
        <f>CONCATENATE(Data!AI339," ",Data!AJ339)</f>
        <v>12.8222218 V</v>
      </c>
    </row>
    <row r="340" spans="1:29" ht="15">
      <c r="A340" s="20" t="str">
        <f>Data!A340</f>
        <v>デモ機</v>
      </c>
      <c r="B340" s="20" t="str">
        <f>Data!C340</f>
        <v>Entire Organization</v>
      </c>
      <c r="C340" s="20" t="str">
        <f>IF(Data!E340=0,"",Data!E340)</f>
        <v/>
      </c>
      <c r="D340" s="26">
        <f t="shared" si="5"/>
        <v>42065.903553240743</v>
      </c>
      <c r="E340" s="27">
        <f>Data!F340</f>
        <v>42065.903553240743</v>
      </c>
      <c r="F340" s="20" t="str">
        <f>Data!G340</f>
        <v>GpsRecord</v>
      </c>
      <c r="G340" s="20">
        <f>Data!H340</f>
        <v>48</v>
      </c>
      <c r="H340" s="20">
        <f>Data!I340</f>
        <v>139.39913999999999</v>
      </c>
      <c r="I340" s="20">
        <f>Data!J340</f>
        <v>35.584919999999997</v>
      </c>
      <c r="J340" s="21" t="str">
        <f>IF(Data!K340=0,"",Data!K340)</f>
        <v>日本, 〒194-0213 東京都町田市常盤町 町田街道</v>
      </c>
      <c r="K340" s="22">
        <f>Data!L340</f>
        <v>0</v>
      </c>
      <c r="L340" s="21" t="str">
        <f>IF(Data!N340=0,"",Data!N340)</f>
        <v>CurveBased</v>
      </c>
      <c r="M340" s="20" t="b">
        <f>Data!O340</f>
        <v>1</v>
      </c>
      <c r="N340" s="20" t="b">
        <f>Data!P340</f>
        <v>0</v>
      </c>
      <c r="O340" s="20" t="b">
        <f>Data!Q340</f>
        <v>0</v>
      </c>
      <c r="P340" s="20" t="b">
        <f>Data!R340</f>
        <v>0</v>
      </c>
      <c r="Q340" s="20" t="b">
        <f>Data!S340</f>
        <v>0</v>
      </c>
      <c r="R340" s="20" t="b">
        <f>Data!T340</f>
        <v>0</v>
      </c>
      <c r="S340" s="20" t="b">
        <f>Data!U340</f>
        <v>0</v>
      </c>
      <c r="T340" s="20" t="b">
        <f>Data!V340</f>
        <v>0</v>
      </c>
      <c r="U340" s="20" t="b">
        <f>Data!W340</f>
        <v>0</v>
      </c>
      <c r="V340" s="20" t="b">
        <f>Data!X340</f>
        <v>1</v>
      </c>
      <c r="W340" s="20" t="b">
        <f>Data!Y340</f>
        <v>1</v>
      </c>
      <c r="X340" s="20">
        <f>Data!Z340</f>
        <v>0</v>
      </c>
      <c r="Y340" s="22">
        <f>Data!AL340</f>
        <v>0</v>
      </c>
      <c r="Z340" s="20">
        <f>Data!AC340</f>
        <v>0</v>
      </c>
      <c r="AA340" s="20">
        <f>Data!AE340</f>
        <v>0</v>
      </c>
      <c r="AB340" s="20">
        <f>Data!AG340</f>
        <v>0</v>
      </c>
      <c r="AC340" s="20" t="str">
        <f>CONCATENATE(Data!AI340," ",Data!AJ340)</f>
        <v xml:space="preserve"> </v>
      </c>
    </row>
    <row r="341" spans="1:29" ht="15">
      <c r="A341" s="20" t="str">
        <f>Data!A341</f>
        <v>デモ機</v>
      </c>
      <c r="B341" s="20" t="str">
        <f>Data!C341</f>
        <v>Entire Organization</v>
      </c>
      <c r="C341" s="20" t="str">
        <f>IF(Data!E341=0,"",Data!E341)</f>
        <v/>
      </c>
      <c r="D341" s="26">
        <f t="shared" si="5"/>
        <v>42065.903588113426</v>
      </c>
      <c r="E341" s="27">
        <f>Data!F341</f>
        <v>42065.903588113426</v>
      </c>
      <c r="F341" s="20" t="str">
        <f>Data!G341</f>
        <v>EngineStatusRecord</v>
      </c>
      <c r="G341" s="20">
        <f>Data!H341</f>
        <v>0</v>
      </c>
      <c r="H341" s="20">
        <f>Data!I341</f>
        <v>0</v>
      </c>
      <c r="I341" s="20">
        <f>Data!J341</f>
        <v>0</v>
      </c>
      <c r="J341" s="21" t="str">
        <f>IF(Data!K341=0,"",Data!K341)</f>
        <v/>
      </c>
      <c r="K341" s="22">
        <f>Data!L341</f>
        <v>0</v>
      </c>
      <c r="L341" s="21" t="str">
        <f>IF(Data!N341=0,"",Data!N341)</f>
        <v/>
      </c>
      <c r="M341" s="20">
        <f>Data!O341</f>
        <v>0</v>
      </c>
      <c r="N341" s="20">
        <f>Data!P341</f>
        <v>0</v>
      </c>
      <c r="O341" s="20">
        <f>Data!Q341</f>
        <v>0</v>
      </c>
      <c r="P341" s="20">
        <f>Data!R341</f>
        <v>0</v>
      </c>
      <c r="Q341" s="20">
        <f>Data!S341</f>
        <v>0</v>
      </c>
      <c r="R341" s="20">
        <f>Data!T341</f>
        <v>0</v>
      </c>
      <c r="S341" s="20">
        <f>Data!U341</f>
        <v>0</v>
      </c>
      <c r="T341" s="20">
        <f>Data!V341</f>
        <v>0</v>
      </c>
      <c r="U341" s="20">
        <f>Data!W341</f>
        <v>0</v>
      </c>
      <c r="V341" s="20">
        <f>Data!X341</f>
        <v>0</v>
      </c>
      <c r="W341" s="20">
        <f>Data!Y341</f>
        <v>0</v>
      </c>
      <c r="X341" s="20">
        <f>Data!Z341</f>
        <v>0</v>
      </c>
      <c r="Y341" s="22">
        <f>Data!AL341</f>
        <v>0</v>
      </c>
      <c r="Z341" s="20" t="str">
        <f>Data!AC341</f>
        <v>Engine RPM</v>
      </c>
      <c r="AA341" s="20" t="str">
        <f>Data!AE341</f>
        <v/>
      </c>
      <c r="AB341" s="20">
        <f>Data!AG341</f>
        <v>0</v>
      </c>
      <c r="AC341" s="20" t="str">
        <f>CONCATENATE(Data!AI341," ",Data!AJ341)</f>
        <v>1509 RPM</v>
      </c>
    </row>
    <row r="342" spans="1:29" ht="15">
      <c r="A342" s="20" t="str">
        <f>Data!A342</f>
        <v>デモ機</v>
      </c>
      <c r="B342" s="20" t="str">
        <f>Data!C342</f>
        <v>Entire Organization</v>
      </c>
      <c r="C342" s="20" t="str">
        <f>IF(Data!E342=0,"",Data!E342)</f>
        <v/>
      </c>
      <c r="D342" s="26">
        <f t="shared" si="5"/>
        <v>42065.903807870367</v>
      </c>
      <c r="E342" s="27">
        <f>Data!F342</f>
        <v>42065.903807870367</v>
      </c>
      <c r="F342" s="20" t="str">
        <f>Data!G342</f>
        <v>GpsRecord</v>
      </c>
      <c r="G342" s="20">
        <f>Data!H342</f>
        <v>37</v>
      </c>
      <c r="H342" s="20">
        <f>Data!I342</f>
        <v>139.40172999999999</v>
      </c>
      <c r="I342" s="20">
        <f>Data!J342</f>
        <v>35.58408</v>
      </c>
      <c r="J342" s="21" t="str">
        <f>IF(Data!K342=0,"",Data!K342)</f>
        <v>日本, 〒194-0213 東京都町田市常盤町 町田街道</v>
      </c>
      <c r="K342" s="22">
        <f>Data!L342</f>
        <v>0</v>
      </c>
      <c r="L342" s="21" t="str">
        <f>IF(Data!N342=0,"",Data!N342)</f>
        <v>CurveSpeed</v>
      </c>
      <c r="M342" s="20" t="b">
        <f>Data!O342</f>
        <v>1</v>
      </c>
      <c r="N342" s="20" t="b">
        <f>Data!P342</f>
        <v>0</v>
      </c>
      <c r="O342" s="20" t="b">
        <f>Data!Q342</f>
        <v>0</v>
      </c>
      <c r="P342" s="20" t="b">
        <f>Data!R342</f>
        <v>0</v>
      </c>
      <c r="Q342" s="20" t="b">
        <f>Data!S342</f>
        <v>0</v>
      </c>
      <c r="R342" s="20" t="b">
        <f>Data!T342</f>
        <v>0</v>
      </c>
      <c r="S342" s="20" t="b">
        <f>Data!U342</f>
        <v>0</v>
      </c>
      <c r="T342" s="20" t="b">
        <f>Data!V342</f>
        <v>0</v>
      </c>
      <c r="U342" s="20" t="b">
        <f>Data!W342</f>
        <v>0</v>
      </c>
      <c r="V342" s="20" t="b">
        <f>Data!X342</f>
        <v>1</v>
      </c>
      <c r="W342" s="20" t="b">
        <f>Data!Y342</f>
        <v>1</v>
      </c>
      <c r="X342" s="20">
        <f>Data!Z342</f>
        <v>0</v>
      </c>
      <c r="Y342" s="22">
        <f>Data!AL342</f>
        <v>0</v>
      </c>
      <c r="Z342" s="20">
        <f>Data!AC342</f>
        <v>0</v>
      </c>
      <c r="AA342" s="20">
        <f>Data!AE342</f>
        <v>0</v>
      </c>
      <c r="AB342" s="20">
        <f>Data!AG342</f>
        <v>0</v>
      </c>
      <c r="AC342" s="20" t="str">
        <f>CONCATENATE(Data!AI342," ",Data!AJ342)</f>
        <v xml:space="preserve"> </v>
      </c>
    </row>
    <row r="343" spans="1:29" ht="15">
      <c r="A343" s="20" t="str">
        <f>Data!A343</f>
        <v>デモ機</v>
      </c>
      <c r="B343" s="20" t="str">
        <f>Data!C343</f>
        <v>Entire Organization</v>
      </c>
      <c r="C343" s="20" t="str">
        <f>IF(Data!E343=0,"",Data!E343)</f>
        <v/>
      </c>
      <c r="D343" s="26">
        <f t="shared" si="5"/>
        <v>42065.903854432872</v>
      </c>
      <c r="E343" s="27">
        <f>Data!F343</f>
        <v>42065.903854432872</v>
      </c>
      <c r="F343" s="20" t="str">
        <f>Data!G343</f>
        <v>EngineStatusRecord</v>
      </c>
      <c r="G343" s="20">
        <f>Data!H343</f>
        <v>0</v>
      </c>
      <c r="H343" s="20">
        <f>Data!I343</f>
        <v>0</v>
      </c>
      <c r="I343" s="20">
        <f>Data!J343</f>
        <v>0</v>
      </c>
      <c r="J343" s="21" t="str">
        <f>IF(Data!K343=0,"",Data!K343)</f>
        <v/>
      </c>
      <c r="K343" s="22">
        <f>Data!L343</f>
        <v>0</v>
      </c>
      <c r="L343" s="21" t="str">
        <f>IF(Data!N343=0,"",Data!N343)</f>
        <v/>
      </c>
      <c r="M343" s="20">
        <f>Data!O343</f>
        <v>0</v>
      </c>
      <c r="N343" s="20">
        <f>Data!P343</f>
        <v>0</v>
      </c>
      <c r="O343" s="20">
        <f>Data!Q343</f>
        <v>0</v>
      </c>
      <c r="P343" s="20">
        <f>Data!R343</f>
        <v>0</v>
      </c>
      <c r="Q343" s="20">
        <f>Data!S343</f>
        <v>0</v>
      </c>
      <c r="R343" s="20">
        <f>Data!T343</f>
        <v>0</v>
      </c>
      <c r="S343" s="20">
        <f>Data!U343</f>
        <v>0</v>
      </c>
      <c r="T343" s="20">
        <f>Data!V343</f>
        <v>0</v>
      </c>
      <c r="U343" s="20">
        <f>Data!W343</f>
        <v>0</v>
      </c>
      <c r="V343" s="20">
        <f>Data!X343</f>
        <v>0</v>
      </c>
      <c r="W343" s="20">
        <f>Data!Y343</f>
        <v>0</v>
      </c>
      <c r="X343" s="20">
        <f>Data!Z343</f>
        <v>0</v>
      </c>
      <c r="Y343" s="22">
        <f>Data!AL343</f>
        <v>0</v>
      </c>
      <c r="Z343" s="20" t="str">
        <f>Data!AC343</f>
        <v>Acceleration forward or braking</v>
      </c>
      <c r="AA343" s="20" t="str">
        <f>Data!AE343</f>
        <v/>
      </c>
      <c r="AB343" s="20">
        <f>Data!AG343</f>
        <v>0</v>
      </c>
      <c r="AC343" s="20" t="str">
        <f>CONCATENATE(Data!AI343," ",Data!AJ343)</f>
        <v>0 m/s^2</v>
      </c>
    </row>
    <row r="344" spans="1:29" ht="15">
      <c r="A344" s="20" t="str">
        <f>Data!A344</f>
        <v>デモ機</v>
      </c>
      <c r="B344" s="20" t="str">
        <f>Data!C344</f>
        <v>Entire Organization</v>
      </c>
      <c r="C344" s="20" t="str">
        <f>IF(Data!E344=0,"",Data!E344)</f>
        <v/>
      </c>
      <c r="D344" s="26">
        <f t="shared" si="5"/>
        <v>42065.903854432872</v>
      </c>
      <c r="E344" s="27">
        <f>Data!F344</f>
        <v>42065.903854432872</v>
      </c>
      <c r="F344" s="20" t="str">
        <f>Data!G344</f>
        <v>EngineStatusRecord</v>
      </c>
      <c r="G344" s="20">
        <f>Data!H344</f>
        <v>0</v>
      </c>
      <c r="H344" s="20">
        <f>Data!I344</f>
        <v>0</v>
      </c>
      <c r="I344" s="20">
        <f>Data!J344</f>
        <v>0</v>
      </c>
      <c r="J344" s="21" t="str">
        <f>IF(Data!K344=0,"",Data!K344)</f>
        <v/>
      </c>
      <c r="K344" s="22">
        <f>Data!L344</f>
        <v>0</v>
      </c>
      <c r="L344" s="21" t="str">
        <f>IF(Data!N344=0,"",Data!N344)</f>
        <v/>
      </c>
      <c r="M344" s="20">
        <f>Data!O344</f>
        <v>0</v>
      </c>
      <c r="N344" s="20">
        <f>Data!P344</f>
        <v>0</v>
      </c>
      <c r="O344" s="20">
        <f>Data!Q344</f>
        <v>0</v>
      </c>
      <c r="P344" s="20">
        <f>Data!R344</f>
        <v>0</v>
      </c>
      <c r="Q344" s="20">
        <f>Data!S344</f>
        <v>0</v>
      </c>
      <c r="R344" s="20">
        <f>Data!T344</f>
        <v>0</v>
      </c>
      <c r="S344" s="20">
        <f>Data!U344</f>
        <v>0</v>
      </c>
      <c r="T344" s="20">
        <f>Data!V344</f>
        <v>0</v>
      </c>
      <c r="U344" s="20">
        <f>Data!W344</f>
        <v>0</v>
      </c>
      <c r="V344" s="20">
        <f>Data!X344</f>
        <v>0</v>
      </c>
      <c r="W344" s="20">
        <f>Data!Y344</f>
        <v>0</v>
      </c>
      <c r="X344" s="20">
        <f>Data!Z344</f>
        <v>0</v>
      </c>
      <c r="Y344" s="22">
        <f>Data!AL344</f>
        <v>0</v>
      </c>
      <c r="Z344" s="20" t="str">
        <f>Data!AC344</f>
        <v>Acceleration side to side</v>
      </c>
      <c r="AA344" s="20" t="str">
        <f>Data!AE344</f>
        <v/>
      </c>
      <c r="AB344" s="20">
        <f>Data!AG344</f>
        <v>0</v>
      </c>
      <c r="AC344" s="20" t="str">
        <f>CONCATENATE(Data!AI344," ",Data!AJ344)</f>
        <v>-0.353039413690567 m/s^2</v>
      </c>
    </row>
    <row r="345" spans="1:29" ht="15">
      <c r="A345" s="20" t="str">
        <f>Data!A345</f>
        <v>デモ機</v>
      </c>
      <c r="B345" s="20" t="str">
        <f>Data!C345</f>
        <v>Entire Organization</v>
      </c>
      <c r="C345" s="20" t="str">
        <f>IF(Data!E345=0,"",Data!E345)</f>
        <v/>
      </c>
      <c r="D345" s="26">
        <f t="shared" si="5"/>
        <v>42065.903854432872</v>
      </c>
      <c r="E345" s="27">
        <f>Data!F345</f>
        <v>42065.903854432872</v>
      </c>
      <c r="F345" s="20" t="str">
        <f>Data!G345</f>
        <v>EngineStatusRecord</v>
      </c>
      <c r="G345" s="20">
        <f>Data!H345</f>
        <v>0</v>
      </c>
      <c r="H345" s="20">
        <f>Data!I345</f>
        <v>0</v>
      </c>
      <c r="I345" s="20">
        <f>Data!J345</f>
        <v>0</v>
      </c>
      <c r="J345" s="21" t="str">
        <f>IF(Data!K345=0,"",Data!K345)</f>
        <v/>
      </c>
      <c r="K345" s="22">
        <f>Data!L345</f>
        <v>0</v>
      </c>
      <c r="L345" s="21" t="str">
        <f>IF(Data!N345=0,"",Data!N345)</f>
        <v/>
      </c>
      <c r="M345" s="20">
        <f>Data!O345</f>
        <v>0</v>
      </c>
      <c r="N345" s="20">
        <f>Data!P345</f>
        <v>0</v>
      </c>
      <c r="O345" s="20">
        <f>Data!Q345</f>
        <v>0</v>
      </c>
      <c r="P345" s="20">
        <f>Data!R345</f>
        <v>0</v>
      </c>
      <c r="Q345" s="20">
        <f>Data!S345</f>
        <v>0</v>
      </c>
      <c r="R345" s="20">
        <f>Data!T345</f>
        <v>0</v>
      </c>
      <c r="S345" s="20">
        <f>Data!U345</f>
        <v>0</v>
      </c>
      <c r="T345" s="20">
        <f>Data!V345</f>
        <v>0</v>
      </c>
      <c r="U345" s="20">
        <f>Data!W345</f>
        <v>0</v>
      </c>
      <c r="V345" s="20">
        <f>Data!X345</f>
        <v>0</v>
      </c>
      <c r="W345" s="20">
        <f>Data!Y345</f>
        <v>0</v>
      </c>
      <c r="X345" s="20">
        <f>Data!Z345</f>
        <v>0</v>
      </c>
      <c r="Y345" s="22">
        <f>Data!AL345</f>
        <v>0</v>
      </c>
      <c r="Z345" s="20" t="str">
        <f>Data!AC345</f>
        <v>Acceleration up down</v>
      </c>
      <c r="AA345" s="20" t="str">
        <f>Data!AE345</f>
        <v/>
      </c>
      <c r="AB345" s="20">
        <f>Data!AG345</f>
        <v>0</v>
      </c>
      <c r="AC345" s="20" t="str">
        <f>CONCATENATE(Data!AI345," ",Data!AJ345)</f>
        <v>9.7085838317871 m/s^2</v>
      </c>
    </row>
    <row r="346" spans="1:29" ht="15">
      <c r="A346" s="20" t="str">
        <f>Data!A346</f>
        <v>デモ機</v>
      </c>
      <c r="B346" s="20" t="str">
        <f>Data!C346</f>
        <v>Entire Organization</v>
      </c>
      <c r="C346" s="20" t="str">
        <f>IF(Data!E346=0,"",Data!E346)</f>
        <v/>
      </c>
      <c r="D346" s="26">
        <f t="shared" si="5"/>
        <v>42065.903861192128</v>
      </c>
      <c r="E346" s="27">
        <f>Data!F346</f>
        <v>42065.903861192128</v>
      </c>
      <c r="F346" s="20" t="str">
        <f>Data!G346</f>
        <v>EngineStatusRecord</v>
      </c>
      <c r="G346" s="20">
        <f>Data!H346</f>
        <v>0</v>
      </c>
      <c r="H346" s="20">
        <f>Data!I346</f>
        <v>0</v>
      </c>
      <c r="I346" s="20">
        <f>Data!J346</f>
        <v>0</v>
      </c>
      <c r="J346" s="21" t="str">
        <f>IF(Data!K346=0,"",Data!K346)</f>
        <v/>
      </c>
      <c r="K346" s="22">
        <f>Data!L346</f>
        <v>0</v>
      </c>
      <c r="L346" s="21" t="str">
        <f>IF(Data!N346=0,"",Data!N346)</f>
        <v/>
      </c>
      <c r="M346" s="20">
        <f>Data!O346</f>
        <v>0</v>
      </c>
      <c r="N346" s="20">
        <f>Data!P346</f>
        <v>0</v>
      </c>
      <c r="O346" s="20">
        <f>Data!Q346</f>
        <v>0</v>
      </c>
      <c r="P346" s="20">
        <f>Data!R346</f>
        <v>0</v>
      </c>
      <c r="Q346" s="20">
        <f>Data!S346</f>
        <v>0</v>
      </c>
      <c r="R346" s="20">
        <f>Data!T346</f>
        <v>0</v>
      </c>
      <c r="S346" s="20">
        <f>Data!U346</f>
        <v>0</v>
      </c>
      <c r="T346" s="20">
        <f>Data!V346</f>
        <v>0</v>
      </c>
      <c r="U346" s="20">
        <f>Data!W346</f>
        <v>0</v>
      </c>
      <c r="V346" s="20">
        <f>Data!X346</f>
        <v>0</v>
      </c>
      <c r="W346" s="20">
        <f>Data!Y346</f>
        <v>0</v>
      </c>
      <c r="X346" s="20">
        <f>Data!Z346</f>
        <v>0</v>
      </c>
      <c r="Y346" s="22">
        <f>Data!AL346</f>
        <v>0</v>
      </c>
      <c r="Z346" s="20" t="str">
        <f>Data!AC346</f>
        <v>Acceleration forward or braking</v>
      </c>
      <c r="AA346" s="20" t="str">
        <f>Data!AE346</f>
        <v/>
      </c>
      <c r="AB346" s="20">
        <f>Data!AG346</f>
        <v>0</v>
      </c>
      <c r="AC346" s="20" t="str">
        <f>CONCATENATE(Data!AI346," ",Data!AJ346)</f>
        <v>-1.94171702861785 m/s^2</v>
      </c>
    </row>
    <row r="347" spans="1:29" ht="15">
      <c r="A347" s="20" t="str">
        <f>Data!A347</f>
        <v>デモ機</v>
      </c>
      <c r="B347" s="20" t="str">
        <f>Data!C347</f>
        <v>Entire Organization</v>
      </c>
      <c r="C347" s="20" t="str">
        <f>IF(Data!E347=0,"",Data!E347)</f>
        <v/>
      </c>
      <c r="D347" s="26">
        <f t="shared" si="5"/>
        <v>42065.903861192128</v>
      </c>
      <c r="E347" s="27">
        <f>Data!F347</f>
        <v>42065.903861192128</v>
      </c>
      <c r="F347" s="20" t="str">
        <f>Data!G347</f>
        <v>EngineStatusRecord</v>
      </c>
      <c r="G347" s="20">
        <f>Data!H347</f>
        <v>0</v>
      </c>
      <c r="H347" s="20">
        <f>Data!I347</f>
        <v>0</v>
      </c>
      <c r="I347" s="20">
        <f>Data!J347</f>
        <v>0</v>
      </c>
      <c r="J347" s="21" t="str">
        <f>IF(Data!K347=0,"",Data!K347)</f>
        <v/>
      </c>
      <c r="K347" s="22">
        <f>Data!L347</f>
        <v>0</v>
      </c>
      <c r="L347" s="21" t="str">
        <f>IF(Data!N347=0,"",Data!N347)</f>
        <v/>
      </c>
      <c r="M347" s="20">
        <f>Data!O347</f>
        <v>0</v>
      </c>
      <c r="N347" s="20">
        <f>Data!P347</f>
        <v>0</v>
      </c>
      <c r="O347" s="20">
        <f>Data!Q347</f>
        <v>0</v>
      </c>
      <c r="P347" s="20">
        <f>Data!R347</f>
        <v>0</v>
      </c>
      <c r="Q347" s="20">
        <f>Data!S347</f>
        <v>0</v>
      </c>
      <c r="R347" s="20">
        <f>Data!T347</f>
        <v>0</v>
      </c>
      <c r="S347" s="20">
        <f>Data!U347</f>
        <v>0</v>
      </c>
      <c r="T347" s="20">
        <f>Data!V347</f>
        <v>0</v>
      </c>
      <c r="U347" s="20">
        <f>Data!W347</f>
        <v>0</v>
      </c>
      <c r="V347" s="20">
        <f>Data!X347</f>
        <v>0</v>
      </c>
      <c r="W347" s="20">
        <f>Data!Y347</f>
        <v>0</v>
      </c>
      <c r="X347" s="20">
        <f>Data!Z347</f>
        <v>0</v>
      </c>
      <c r="Y347" s="22">
        <f>Data!AL347</f>
        <v>0</v>
      </c>
      <c r="Z347" s="20" t="str">
        <f>Data!AC347</f>
        <v>Acceleration side to side</v>
      </c>
      <c r="AA347" s="20" t="str">
        <f>Data!AE347</f>
        <v/>
      </c>
      <c r="AB347" s="20">
        <f>Data!AG347</f>
        <v>0</v>
      </c>
      <c r="AC347" s="20" t="str">
        <f>CONCATENATE(Data!AI347," ",Data!AJ347)</f>
        <v>0 m/s^2</v>
      </c>
    </row>
    <row r="348" spans="1:29" ht="15">
      <c r="A348" s="20" t="str">
        <f>Data!A348</f>
        <v>デモ機</v>
      </c>
      <c r="B348" s="20" t="str">
        <f>Data!C348</f>
        <v>Entire Organization</v>
      </c>
      <c r="C348" s="20" t="str">
        <f>IF(Data!E348=0,"",Data!E348)</f>
        <v/>
      </c>
      <c r="D348" s="26">
        <f t="shared" si="5"/>
        <v>42065.903861192128</v>
      </c>
      <c r="E348" s="27">
        <f>Data!F348</f>
        <v>42065.903861192128</v>
      </c>
      <c r="F348" s="20" t="str">
        <f>Data!G348</f>
        <v>EngineStatusRecord</v>
      </c>
      <c r="G348" s="20">
        <f>Data!H348</f>
        <v>0</v>
      </c>
      <c r="H348" s="20">
        <f>Data!I348</f>
        <v>0</v>
      </c>
      <c r="I348" s="20">
        <f>Data!J348</f>
        <v>0</v>
      </c>
      <c r="J348" s="21" t="str">
        <f>IF(Data!K348=0,"",Data!K348)</f>
        <v/>
      </c>
      <c r="K348" s="22">
        <f>Data!L348</f>
        <v>0</v>
      </c>
      <c r="L348" s="21" t="str">
        <f>IF(Data!N348=0,"",Data!N348)</f>
        <v/>
      </c>
      <c r="M348" s="20">
        <f>Data!O348</f>
        <v>0</v>
      </c>
      <c r="N348" s="20">
        <f>Data!P348</f>
        <v>0</v>
      </c>
      <c r="O348" s="20">
        <f>Data!Q348</f>
        <v>0</v>
      </c>
      <c r="P348" s="20">
        <f>Data!R348</f>
        <v>0</v>
      </c>
      <c r="Q348" s="20">
        <f>Data!S348</f>
        <v>0</v>
      </c>
      <c r="R348" s="20">
        <f>Data!T348</f>
        <v>0</v>
      </c>
      <c r="S348" s="20">
        <f>Data!U348</f>
        <v>0</v>
      </c>
      <c r="T348" s="20">
        <f>Data!V348</f>
        <v>0</v>
      </c>
      <c r="U348" s="20">
        <f>Data!W348</f>
        <v>0</v>
      </c>
      <c r="V348" s="20">
        <f>Data!X348</f>
        <v>0</v>
      </c>
      <c r="W348" s="20">
        <f>Data!Y348</f>
        <v>0</v>
      </c>
      <c r="X348" s="20">
        <f>Data!Z348</f>
        <v>0</v>
      </c>
      <c r="Y348" s="22">
        <f>Data!AL348</f>
        <v>0</v>
      </c>
      <c r="Z348" s="20" t="str">
        <f>Data!AC348</f>
        <v>Acceleration up down</v>
      </c>
      <c r="AA348" s="20" t="str">
        <f>Data!AE348</f>
        <v/>
      </c>
      <c r="AB348" s="20">
        <f>Data!AG348</f>
        <v>0</v>
      </c>
      <c r="AC348" s="20" t="str">
        <f>CONCATENATE(Data!AI348," ",Data!AJ348)</f>
        <v>9.53206253051757 m/s^2</v>
      </c>
    </row>
    <row r="349" spans="1:29" ht="15">
      <c r="A349" s="20" t="str">
        <f>Data!A349</f>
        <v>デモ機</v>
      </c>
      <c r="B349" s="20" t="str">
        <f>Data!C349</f>
        <v>Entire Organization</v>
      </c>
      <c r="C349" s="20" t="str">
        <f>IF(Data!E349=0,"",Data!E349)</f>
        <v/>
      </c>
      <c r="D349" s="26">
        <f t="shared" si="5"/>
        <v>42065.90390853009</v>
      </c>
      <c r="E349" s="27">
        <f>Data!F349</f>
        <v>42065.90390853009</v>
      </c>
      <c r="F349" s="20" t="str">
        <f>Data!G349</f>
        <v>EngineStatusRecord</v>
      </c>
      <c r="G349" s="20">
        <f>Data!H349</f>
        <v>0</v>
      </c>
      <c r="H349" s="20">
        <f>Data!I349</f>
        <v>0</v>
      </c>
      <c r="I349" s="20">
        <f>Data!J349</f>
        <v>0</v>
      </c>
      <c r="J349" s="21" t="str">
        <f>IF(Data!K349=0,"",Data!K349)</f>
        <v/>
      </c>
      <c r="K349" s="22">
        <f>Data!L349</f>
        <v>0</v>
      </c>
      <c r="L349" s="21" t="str">
        <f>IF(Data!N349=0,"",Data!N349)</f>
        <v/>
      </c>
      <c r="M349" s="20">
        <f>Data!O349</f>
        <v>0</v>
      </c>
      <c r="N349" s="20">
        <f>Data!P349</f>
        <v>0</v>
      </c>
      <c r="O349" s="20">
        <f>Data!Q349</f>
        <v>0</v>
      </c>
      <c r="P349" s="20">
        <f>Data!R349</f>
        <v>0</v>
      </c>
      <c r="Q349" s="20">
        <f>Data!S349</f>
        <v>0</v>
      </c>
      <c r="R349" s="20">
        <f>Data!T349</f>
        <v>0</v>
      </c>
      <c r="S349" s="20">
        <f>Data!U349</f>
        <v>0</v>
      </c>
      <c r="T349" s="20">
        <f>Data!V349</f>
        <v>0</v>
      </c>
      <c r="U349" s="20">
        <f>Data!W349</f>
        <v>0</v>
      </c>
      <c r="V349" s="20">
        <f>Data!X349</f>
        <v>0</v>
      </c>
      <c r="W349" s="20">
        <f>Data!Y349</f>
        <v>0</v>
      </c>
      <c r="X349" s="20">
        <f>Data!Z349</f>
        <v>0</v>
      </c>
      <c r="Y349" s="22">
        <f>Data!AL349</f>
        <v>0</v>
      </c>
      <c r="Z349" s="20" t="str">
        <f>Data!AC349</f>
        <v>Acceleration up down</v>
      </c>
      <c r="AA349" s="20" t="str">
        <f>Data!AE349</f>
        <v/>
      </c>
      <c r="AB349" s="20">
        <f>Data!AG349</f>
        <v>0</v>
      </c>
      <c r="AC349" s="20" t="str">
        <f>CONCATENATE(Data!AI349," ",Data!AJ349)</f>
        <v>9.53206253051757 m/s^2</v>
      </c>
    </row>
    <row r="350" spans="1:29" ht="15">
      <c r="A350" s="20" t="str">
        <f>Data!A350</f>
        <v>デモ機</v>
      </c>
      <c r="B350" s="20" t="str">
        <f>Data!C350</f>
        <v>Entire Organization</v>
      </c>
      <c r="C350" s="20" t="str">
        <f>IF(Data!E350=0,"",Data!E350)</f>
        <v/>
      </c>
      <c r="D350" s="26">
        <f t="shared" si="5"/>
        <v>42065.90390853009</v>
      </c>
      <c r="E350" s="27">
        <f>Data!F350</f>
        <v>42065.90390853009</v>
      </c>
      <c r="F350" s="20" t="str">
        <f>Data!G350</f>
        <v>EngineStatusRecord</v>
      </c>
      <c r="G350" s="20">
        <f>Data!H350</f>
        <v>0</v>
      </c>
      <c r="H350" s="20">
        <f>Data!I350</f>
        <v>0</v>
      </c>
      <c r="I350" s="20">
        <f>Data!J350</f>
        <v>0</v>
      </c>
      <c r="J350" s="21" t="str">
        <f>IF(Data!K350=0,"",Data!K350)</f>
        <v/>
      </c>
      <c r="K350" s="22">
        <f>Data!L350</f>
        <v>0</v>
      </c>
      <c r="L350" s="21" t="str">
        <f>IF(Data!N350=0,"",Data!N350)</f>
        <v/>
      </c>
      <c r="M350" s="20">
        <f>Data!O350</f>
        <v>0</v>
      </c>
      <c r="N350" s="20">
        <f>Data!P350</f>
        <v>0</v>
      </c>
      <c r="O350" s="20">
        <f>Data!Q350</f>
        <v>0</v>
      </c>
      <c r="P350" s="20">
        <f>Data!R350</f>
        <v>0</v>
      </c>
      <c r="Q350" s="20">
        <f>Data!S350</f>
        <v>0</v>
      </c>
      <c r="R350" s="20">
        <f>Data!T350</f>
        <v>0</v>
      </c>
      <c r="S350" s="20">
        <f>Data!U350</f>
        <v>0</v>
      </c>
      <c r="T350" s="20">
        <f>Data!V350</f>
        <v>0</v>
      </c>
      <c r="U350" s="20">
        <f>Data!W350</f>
        <v>0</v>
      </c>
      <c r="V350" s="20">
        <f>Data!X350</f>
        <v>0</v>
      </c>
      <c r="W350" s="20">
        <f>Data!Y350</f>
        <v>0</v>
      </c>
      <c r="X350" s="20">
        <f>Data!Z350</f>
        <v>0</v>
      </c>
      <c r="Y350" s="22">
        <f>Data!AL350</f>
        <v>0</v>
      </c>
      <c r="Z350" s="20" t="str">
        <f>Data!AC350</f>
        <v>Acceleration side to side</v>
      </c>
      <c r="AA350" s="20" t="str">
        <f>Data!AE350</f>
        <v/>
      </c>
      <c r="AB350" s="20">
        <f>Data!AG350</f>
        <v>0</v>
      </c>
      <c r="AC350" s="20" t="str">
        <f>CONCATENATE(Data!AI350," ",Data!AJ350)</f>
        <v>0 m/s^2</v>
      </c>
    </row>
    <row r="351" spans="1:29" ht="15">
      <c r="A351" s="20" t="str">
        <f>Data!A351</f>
        <v>デモ機</v>
      </c>
      <c r="B351" s="20" t="str">
        <f>Data!C351</f>
        <v>Entire Organization</v>
      </c>
      <c r="C351" s="20" t="str">
        <f>IF(Data!E351=0,"",Data!E351)</f>
        <v/>
      </c>
      <c r="D351" s="26">
        <f t="shared" si="5"/>
        <v>42065.90390853009</v>
      </c>
      <c r="E351" s="27">
        <f>Data!F351</f>
        <v>42065.90390853009</v>
      </c>
      <c r="F351" s="20" t="str">
        <f>Data!G351</f>
        <v>EngineStatusRecord</v>
      </c>
      <c r="G351" s="20">
        <f>Data!H351</f>
        <v>0</v>
      </c>
      <c r="H351" s="20">
        <f>Data!I351</f>
        <v>0</v>
      </c>
      <c r="I351" s="20">
        <f>Data!J351</f>
        <v>0</v>
      </c>
      <c r="J351" s="21" t="str">
        <f>IF(Data!K351=0,"",Data!K351)</f>
        <v/>
      </c>
      <c r="K351" s="22">
        <f>Data!L351</f>
        <v>0</v>
      </c>
      <c r="L351" s="21" t="str">
        <f>IF(Data!N351=0,"",Data!N351)</f>
        <v/>
      </c>
      <c r="M351" s="20">
        <f>Data!O351</f>
        <v>0</v>
      </c>
      <c r="N351" s="20">
        <f>Data!P351</f>
        <v>0</v>
      </c>
      <c r="O351" s="20">
        <f>Data!Q351</f>
        <v>0</v>
      </c>
      <c r="P351" s="20">
        <f>Data!R351</f>
        <v>0</v>
      </c>
      <c r="Q351" s="20">
        <f>Data!S351</f>
        <v>0</v>
      </c>
      <c r="R351" s="20">
        <f>Data!T351</f>
        <v>0</v>
      </c>
      <c r="S351" s="20">
        <f>Data!U351</f>
        <v>0</v>
      </c>
      <c r="T351" s="20">
        <f>Data!V351</f>
        <v>0</v>
      </c>
      <c r="U351" s="20">
        <f>Data!W351</f>
        <v>0</v>
      </c>
      <c r="V351" s="20">
        <f>Data!X351</f>
        <v>0</v>
      </c>
      <c r="W351" s="20">
        <f>Data!Y351</f>
        <v>0</v>
      </c>
      <c r="X351" s="20">
        <f>Data!Z351</f>
        <v>0</v>
      </c>
      <c r="Y351" s="22">
        <f>Data!AL351</f>
        <v>0</v>
      </c>
      <c r="Z351" s="20" t="str">
        <f>Data!AC351</f>
        <v>Acceleration forward or braking</v>
      </c>
      <c r="AA351" s="20" t="str">
        <f>Data!AE351</f>
        <v/>
      </c>
      <c r="AB351" s="20">
        <f>Data!AG351</f>
        <v>0</v>
      </c>
      <c r="AC351" s="20" t="str">
        <f>CONCATENATE(Data!AI351," ",Data!AJ351)</f>
        <v>1.05911803245544 m/s^2</v>
      </c>
    </row>
    <row r="352" spans="1:29" ht="15">
      <c r="A352" s="20" t="str">
        <f>Data!A352</f>
        <v>デモ機</v>
      </c>
      <c r="B352" s="20" t="str">
        <f>Data!C352</f>
        <v>Entire Organization</v>
      </c>
      <c r="C352" s="20" t="str">
        <f>IF(Data!E352=0,"",Data!E352)</f>
        <v/>
      </c>
      <c r="D352" s="26">
        <f t="shared" si="5"/>
        <v>42065.903912037036</v>
      </c>
      <c r="E352" s="27">
        <f>Data!F352</f>
        <v>42065.903912037036</v>
      </c>
      <c r="F352" s="20" t="str">
        <f>Data!G352</f>
        <v>GpsRecord</v>
      </c>
      <c r="G352" s="20">
        <f>Data!H352</f>
        <v>0</v>
      </c>
      <c r="H352" s="20">
        <f>Data!I352</f>
        <v>139.4023</v>
      </c>
      <c r="I352" s="20">
        <f>Data!J352</f>
        <v>35.5839</v>
      </c>
      <c r="J352" s="21" t="str">
        <f>IF(Data!K352=0,"",Data!K352)</f>
        <v>日本, 〒194-0213 東京都町田市常盤町 町田街道</v>
      </c>
      <c r="K352" s="22">
        <f>Data!L352</f>
        <v>0</v>
      </c>
      <c r="L352" s="21" t="str">
        <f>IF(Data!N352=0,"",Data!N352)</f>
        <v>CurveZeroSpeed</v>
      </c>
      <c r="M352" s="20" t="b">
        <f>Data!O352</f>
        <v>1</v>
      </c>
      <c r="N352" s="20" t="b">
        <f>Data!P352</f>
        <v>0</v>
      </c>
      <c r="O352" s="20" t="b">
        <f>Data!Q352</f>
        <v>0</v>
      </c>
      <c r="P352" s="20" t="b">
        <f>Data!R352</f>
        <v>0</v>
      </c>
      <c r="Q352" s="20" t="b">
        <f>Data!S352</f>
        <v>0</v>
      </c>
      <c r="R352" s="20" t="b">
        <f>Data!T352</f>
        <v>0</v>
      </c>
      <c r="S352" s="20" t="b">
        <f>Data!U352</f>
        <v>0</v>
      </c>
      <c r="T352" s="20" t="b">
        <f>Data!V352</f>
        <v>0</v>
      </c>
      <c r="U352" s="20" t="b">
        <f>Data!W352</f>
        <v>0</v>
      </c>
      <c r="V352" s="20" t="b">
        <f>Data!X352</f>
        <v>1</v>
      </c>
      <c r="W352" s="20" t="b">
        <f>Data!Y352</f>
        <v>1</v>
      </c>
      <c r="X352" s="20">
        <f>Data!Z352</f>
        <v>0</v>
      </c>
      <c r="Y352" s="22">
        <f>Data!AL352</f>
        <v>0</v>
      </c>
      <c r="Z352" s="20">
        <f>Data!AC352</f>
        <v>0</v>
      </c>
      <c r="AA352" s="20">
        <f>Data!AE352</f>
        <v>0</v>
      </c>
      <c r="AB352" s="20">
        <f>Data!AG352</f>
        <v>0</v>
      </c>
      <c r="AC352" s="20" t="str">
        <f>CONCATENATE(Data!AI352," ",Data!AJ352)</f>
        <v xml:space="preserve"> </v>
      </c>
    </row>
    <row r="353" spans="1:29" ht="15">
      <c r="A353" s="20" t="str">
        <f>Data!A353</f>
        <v>デモ機</v>
      </c>
      <c r="B353" s="20" t="str">
        <f>Data!C353</f>
        <v>Entire Organization</v>
      </c>
      <c r="C353" s="20" t="str">
        <f>IF(Data!E353=0,"",Data!E353)</f>
        <v/>
      </c>
      <c r="D353" s="26">
        <f t="shared" si="5"/>
        <v>42065.903943287034</v>
      </c>
      <c r="E353" s="27">
        <f>Data!F353</f>
        <v>42065.903943287034</v>
      </c>
      <c r="F353" s="20" t="str">
        <f>Data!G353</f>
        <v>EngineStatusRecord</v>
      </c>
      <c r="G353" s="20">
        <f>Data!H353</f>
        <v>0</v>
      </c>
      <c r="H353" s="20">
        <f>Data!I353</f>
        <v>0</v>
      </c>
      <c r="I353" s="20">
        <f>Data!J353</f>
        <v>0</v>
      </c>
      <c r="J353" s="21" t="str">
        <f>IF(Data!K353=0,"",Data!K353)</f>
        <v/>
      </c>
      <c r="K353" s="22">
        <f>Data!L353</f>
        <v>0</v>
      </c>
      <c r="L353" s="21" t="str">
        <f>IF(Data!N353=0,"",Data!N353)</f>
        <v/>
      </c>
      <c r="M353" s="20">
        <f>Data!O353</f>
        <v>0</v>
      </c>
      <c r="N353" s="20">
        <f>Data!P353</f>
        <v>0</v>
      </c>
      <c r="O353" s="20">
        <f>Data!Q353</f>
        <v>0</v>
      </c>
      <c r="P353" s="20">
        <f>Data!R353</f>
        <v>0</v>
      </c>
      <c r="Q353" s="20">
        <f>Data!S353</f>
        <v>0</v>
      </c>
      <c r="R353" s="20">
        <f>Data!T353</f>
        <v>0</v>
      </c>
      <c r="S353" s="20">
        <f>Data!U353</f>
        <v>0</v>
      </c>
      <c r="T353" s="20">
        <f>Data!V353</f>
        <v>0</v>
      </c>
      <c r="U353" s="20">
        <f>Data!W353</f>
        <v>0</v>
      </c>
      <c r="V353" s="20">
        <f>Data!X353</f>
        <v>0</v>
      </c>
      <c r="W353" s="20">
        <f>Data!Y353</f>
        <v>0</v>
      </c>
      <c r="X353" s="20">
        <f>Data!Z353</f>
        <v>0</v>
      </c>
      <c r="Y353" s="22">
        <f>Data!AL353</f>
        <v>0</v>
      </c>
      <c r="Z353" s="20" t="str">
        <f>Data!AC353</f>
        <v>Telematics device voltage</v>
      </c>
      <c r="AA353" s="20" t="str">
        <f>Data!AE353</f>
        <v/>
      </c>
      <c r="AB353" s="20">
        <f>Data!AG353</f>
        <v>0</v>
      </c>
      <c r="AC353" s="20" t="str">
        <f>CONCATENATE(Data!AI353," ",Data!AJ353)</f>
        <v>13.3946667 V</v>
      </c>
    </row>
    <row r="354" spans="1:29" ht="15">
      <c r="A354" s="20" t="str">
        <f>Data!A354</f>
        <v>デモ機</v>
      </c>
      <c r="B354" s="20" t="str">
        <f>Data!C354</f>
        <v>Entire Organization</v>
      </c>
      <c r="C354" s="20" t="str">
        <f>IF(Data!E354=0,"",Data!E354)</f>
        <v/>
      </c>
      <c r="D354" s="26">
        <f t="shared" si="5"/>
        <v>42065.904051076388</v>
      </c>
      <c r="E354" s="27">
        <f>Data!F354</f>
        <v>42065.904051076388</v>
      </c>
      <c r="F354" s="20" t="str">
        <f>Data!G354</f>
        <v>EngineStatusRecord</v>
      </c>
      <c r="G354" s="20">
        <f>Data!H354</f>
        <v>0</v>
      </c>
      <c r="H354" s="20">
        <f>Data!I354</f>
        <v>0</v>
      </c>
      <c r="I354" s="20">
        <f>Data!J354</f>
        <v>0</v>
      </c>
      <c r="J354" s="21" t="str">
        <f>IF(Data!K354=0,"",Data!K354)</f>
        <v/>
      </c>
      <c r="K354" s="22">
        <f>Data!L354</f>
        <v>0</v>
      </c>
      <c r="L354" s="21" t="str">
        <f>IF(Data!N354=0,"",Data!N354)</f>
        <v/>
      </c>
      <c r="M354" s="20">
        <f>Data!O354</f>
        <v>0</v>
      </c>
      <c r="N354" s="20">
        <f>Data!P354</f>
        <v>0</v>
      </c>
      <c r="O354" s="20">
        <f>Data!Q354</f>
        <v>0</v>
      </c>
      <c r="P354" s="20">
        <f>Data!R354</f>
        <v>0</v>
      </c>
      <c r="Q354" s="20">
        <f>Data!S354</f>
        <v>0</v>
      </c>
      <c r="R354" s="20">
        <f>Data!T354</f>
        <v>0</v>
      </c>
      <c r="S354" s="20">
        <f>Data!U354</f>
        <v>0</v>
      </c>
      <c r="T354" s="20">
        <f>Data!V354</f>
        <v>0</v>
      </c>
      <c r="U354" s="20">
        <f>Data!W354</f>
        <v>0</v>
      </c>
      <c r="V354" s="20">
        <f>Data!X354</f>
        <v>0</v>
      </c>
      <c r="W354" s="20">
        <f>Data!Y354</f>
        <v>0</v>
      </c>
      <c r="X354" s="20">
        <f>Data!Z354</f>
        <v>0</v>
      </c>
      <c r="Y354" s="22">
        <f>Data!AL354</f>
        <v>0</v>
      </c>
      <c r="Z354" s="20" t="str">
        <f>Data!AC354</f>
        <v>Engine RPM</v>
      </c>
      <c r="AA354" s="20" t="str">
        <f>Data!AE354</f>
        <v/>
      </c>
      <c r="AB354" s="20">
        <f>Data!AG354</f>
        <v>0</v>
      </c>
      <c r="AC354" s="20" t="str">
        <f>CONCATENATE(Data!AI354," ",Data!AJ354)</f>
        <v>748.25 RPM</v>
      </c>
    </row>
    <row r="355" spans="1:29" ht="15">
      <c r="A355" s="20" t="str">
        <f>Data!A355</f>
        <v>デモ機</v>
      </c>
      <c r="B355" s="20" t="str">
        <f>Data!C355</f>
        <v>Entire Organization</v>
      </c>
      <c r="C355" s="20" t="str">
        <f>IF(Data!E355=0,"",Data!E355)</f>
        <v/>
      </c>
      <c r="D355" s="26">
        <f t="shared" si="5"/>
        <v>42065.90405902778</v>
      </c>
      <c r="E355" s="27">
        <f>Data!F355</f>
        <v>42065.90405902778</v>
      </c>
      <c r="F355" s="20" t="str">
        <f>Data!G355</f>
        <v>EngineStatusRecord</v>
      </c>
      <c r="G355" s="20">
        <f>Data!H355</f>
        <v>0</v>
      </c>
      <c r="H355" s="20">
        <f>Data!I355</f>
        <v>0</v>
      </c>
      <c r="I355" s="20">
        <f>Data!J355</f>
        <v>0</v>
      </c>
      <c r="J355" s="21" t="str">
        <f>IF(Data!K355=0,"",Data!K355)</f>
        <v/>
      </c>
      <c r="K355" s="22">
        <f>Data!L355</f>
        <v>0</v>
      </c>
      <c r="L355" s="21" t="str">
        <f>IF(Data!N355=0,"",Data!N355)</f>
        <v/>
      </c>
      <c r="M355" s="20">
        <f>Data!O355</f>
        <v>0</v>
      </c>
      <c r="N355" s="20">
        <f>Data!P355</f>
        <v>0</v>
      </c>
      <c r="O355" s="20">
        <f>Data!Q355</f>
        <v>0</v>
      </c>
      <c r="P355" s="20">
        <f>Data!R355</f>
        <v>0</v>
      </c>
      <c r="Q355" s="20">
        <f>Data!S355</f>
        <v>0</v>
      </c>
      <c r="R355" s="20">
        <f>Data!T355</f>
        <v>0</v>
      </c>
      <c r="S355" s="20">
        <f>Data!U355</f>
        <v>0</v>
      </c>
      <c r="T355" s="20">
        <f>Data!V355</f>
        <v>0</v>
      </c>
      <c r="U355" s="20">
        <f>Data!W355</f>
        <v>0</v>
      </c>
      <c r="V355" s="20">
        <f>Data!X355</f>
        <v>0</v>
      </c>
      <c r="W355" s="20">
        <f>Data!Y355</f>
        <v>0</v>
      </c>
      <c r="X355" s="20">
        <f>Data!Z355</f>
        <v>0</v>
      </c>
      <c r="Y355" s="22">
        <f>Data!AL355</f>
        <v>0</v>
      </c>
      <c r="Z355" s="20" t="str">
        <f>Data!AC355</f>
        <v>Telematics device voltage</v>
      </c>
      <c r="AA355" s="20" t="str">
        <f>Data!AE355</f>
        <v/>
      </c>
      <c r="AB355" s="20">
        <f>Data!AG355</f>
        <v>0</v>
      </c>
      <c r="AC355" s="20" t="str">
        <f>CONCATENATE(Data!AI355," ",Data!AJ355)</f>
        <v>13.9671116 V</v>
      </c>
    </row>
    <row r="356" spans="1:29" ht="15">
      <c r="A356" s="20" t="str">
        <f>Data!A356</f>
        <v>デモ機</v>
      </c>
      <c r="B356" s="20" t="str">
        <f>Data!C356</f>
        <v>Entire Organization</v>
      </c>
      <c r="C356" s="20" t="str">
        <f>IF(Data!E356=0,"",Data!E356)</f>
        <v/>
      </c>
      <c r="D356" s="26">
        <f t="shared" si="5"/>
        <v>42065.904074074075</v>
      </c>
      <c r="E356" s="27">
        <f>Data!F356</f>
        <v>42065.904074074075</v>
      </c>
      <c r="F356" s="20" t="str">
        <f>Data!G356</f>
        <v>DebugRecord</v>
      </c>
      <c r="G356" s="20">
        <f>Data!H356</f>
        <v>0</v>
      </c>
      <c r="H356" s="20">
        <f>Data!I356</f>
        <v>0</v>
      </c>
      <c r="I356" s="20">
        <f>Data!J356</f>
        <v>0</v>
      </c>
      <c r="J356" s="21" t="str">
        <f>IF(Data!K356=0,"",Data!K356)</f>
        <v/>
      </c>
      <c r="K356" s="22">
        <f>Data!L356</f>
        <v>0</v>
      </c>
      <c r="L356" s="21" t="str">
        <f>IF(Data!N356=0,"",Data!N356)</f>
        <v>DebugErrorRestartModem</v>
      </c>
      <c r="M356" s="20">
        <f>Data!O356</f>
        <v>0</v>
      </c>
      <c r="N356" s="20">
        <f>Data!P356</f>
        <v>0</v>
      </c>
      <c r="O356" s="20">
        <f>Data!Q356</f>
        <v>0</v>
      </c>
      <c r="P356" s="20">
        <f>Data!R356</f>
        <v>0</v>
      </c>
      <c r="Q356" s="20">
        <f>Data!S356</f>
        <v>0</v>
      </c>
      <c r="R356" s="20">
        <f>Data!T356</f>
        <v>0</v>
      </c>
      <c r="S356" s="20">
        <f>Data!U356</f>
        <v>0</v>
      </c>
      <c r="T356" s="20">
        <f>Data!V356</f>
        <v>0</v>
      </c>
      <c r="U356" s="20">
        <f>Data!W356</f>
        <v>0</v>
      </c>
      <c r="V356" s="20">
        <f>Data!X356</f>
        <v>0</v>
      </c>
      <c r="W356" s="20">
        <f>Data!Y356</f>
        <v>0</v>
      </c>
      <c r="X356" s="20">
        <f>Data!Z356</f>
        <v>0</v>
      </c>
      <c r="Y356" s="22" t="str">
        <f>Data!AL356</f>
        <v>ABAAB7A9BAB9B8B700000000000000</v>
      </c>
      <c r="Z356" s="20">
        <f>Data!AC356</f>
        <v>0</v>
      </c>
      <c r="AA356" s="20">
        <f>Data!AE356</f>
        <v>0</v>
      </c>
      <c r="AB356" s="20">
        <f>Data!AG356</f>
        <v>0</v>
      </c>
      <c r="AC356" s="20" t="str">
        <f>CONCATENATE(Data!AI356," ",Data!AJ356)</f>
        <v xml:space="preserve"> </v>
      </c>
    </row>
    <row r="357" spans="1:29" ht="15">
      <c r="A357" s="20" t="str">
        <f>Data!A357</f>
        <v>デモ機</v>
      </c>
      <c r="B357" s="20" t="str">
        <f>Data!C357</f>
        <v>Entire Organization</v>
      </c>
      <c r="C357" s="20" t="str">
        <f>IF(Data!E357=0,"",Data!E357)</f>
        <v/>
      </c>
      <c r="D357" s="26">
        <f t="shared" si="5"/>
        <v>42065.904074074075</v>
      </c>
      <c r="E357" s="27">
        <f>Data!F357</f>
        <v>42065.904074074075</v>
      </c>
      <c r="F357" s="20" t="str">
        <f>Data!G357</f>
        <v>DebugRecord</v>
      </c>
      <c r="G357" s="20">
        <f>Data!H357</f>
        <v>0</v>
      </c>
      <c r="H357" s="20">
        <f>Data!I357</f>
        <v>0</v>
      </c>
      <c r="I357" s="20">
        <f>Data!J357</f>
        <v>0</v>
      </c>
      <c r="J357" s="21" t="str">
        <f>IF(Data!K357=0,"",Data!K357)</f>
        <v/>
      </c>
      <c r="K357" s="22">
        <f>Data!L357</f>
        <v>0</v>
      </c>
      <c r="L357" s="21" t="str">
        <f>IF(Data!N357=0,"",Data!N357)</f>
        <v>ModemManagerRetryFail</v>
      </c>
      <c r="M357" s="20">
        <f>Data!O357</f>
        <v>0</v>
      </c>
      <c r="N357" s="20">
        <f>Data!P357</f>
        <v>0</v>
      </c>
      <c r="O357" s="20">
        <f>Data!Q357</f>
        <v>0</v>
      </c>
      <c r="P357" s="20">
        <f>Data!R357</f>
        <v>0</v>
      </c>
      <c r="Q357" s="20">
        <f>Data!S357</f>
        <v>0</v>
      </c>
      <c r="R357" s="20">
        <f>Data!T357</f>
        <v>0</v>
      </c>
      <c r="S357" s="20">
        <f>Data!U357</f>
        <v>0</v>
      </c>
      <c r="T357" s="20">
        <f>Data!V357</f>
        <v>0</v>
      </c>
      <c r="U357" s="20">
        <f>Data!W357</f>
        <v>0</v>
      </c>
      <c r="V357" s="20">
        <f>Data!X357</f>
        <v>0</v>
      </c>
      <c r="W357" s="20">
        <f>Data!Y357</f>
        <v>0</v>
      </c>
      <c r="X357" s="20">
        <f>Data!Z357</f>
        <v>0</v>
      </c>
      <c r="Y357" s="22" t="str">
        <f>Data!AL357</f>
        <v>4E545420444F800000000000000000</v>
      </c>
      <c r="Z357" s="20">
        <f>Data!AC357</f>
        <v>0</v>
      </c>
      <c r="AA357" s="20">
        <f>Data!AE357</f>
        <v>0</v>
      </c>
      <c r="AB357" s="20">
        <f>Data!AG357</f>
        <v>0</v>
      </c>
      <c r="AC357" s="20" t="str">
        <f>CONCATENATE(Data!AI357," ",Data!AJ357)</f>
        <v xml:space="preserve"> </v>
      </c>
    </row>
    <row r="358" spans="1:29" ht="15">
      <c r="A358" s="20" t="str">
        <f>Data!A358</f>
        <v>デモ機</v>
      </c>
      <c r="B358" s="20" t="str">
        <f>Data!C358</f>
        <v>Entire Organization</v>
      </c>
      <c r="C358" s="20" t="str">
        <f>IF(Data!E358=0,"",Data!E358)</f>
        <v/>
      </c>
      <c r="D358" s="26">
        <f t="shared" si="5"/>
        <v>42065.904074074075</v>
      </c>
      <c r="E358" s="27">
        <f>Data!F358</f>
        <v>42065.904074074075</v>
      </c>
      <c r="F358" s="20" t="str">
        <f>Data!G358</f>
        <v>DebugRecord</v>
      </c>
      <c r="G358" s="20">
        <f>Data!H358</f>
        <v>0</v>
      </c>
      <c r="H358" s="20">
        <f>Data!I358</f>
        <v>0</v>
      </c>
      <c r="I358" s="20">
        <f>Data!J358</f>
        <v>0</v>
      </c>
      <c r="J358" s="21" t="str">
        <f>IF(Data!K358=0,"",Data!K358)</f>
        <v/>
      </c>
      <c r="K358" s="22">
        <f>Data!L358</f>
        <v>0</v>
      </c>
      <c r="L358" s="21" t="str">
        <f>IF(Data!N358=0,"",Data!N358)</f>
        <v>ErrorRestartGsmcdmaStateMachine</v>
      </c>
      <c r="M358" s="20">
        <f>Data!O358</f>
        <v>0</v>
      </c>
      <c r="N358" s="20">
        <f>Data!P358</f>
        <v>0</v>
      </c>
      <c r="O358" s="20">
        <f>Data!Q358</f>
        <v>0</v>
      </c>
      <c r="P358" s="20">
        <f>Data!R358</f>
        <v>0</v>
      </c>
      <c r="Q358" s="20">
        <f>Data!S358</f>
        <v>0</v>
      </c>
      <c r="R358" s="20">
        <f>Data!T358</f>
        <v>0</v>
      </c>
      <c r="S358" s="20">
        <f>Data!U358</f>
        <v>0</v>
      </c>
      <c r="T358" s="20">
        <f>Data!V358</f>
        <v>0</v>
      </c>
      <c r="U358" s="20">
        <f>Data!W358</f>
        <v>0</v>
      </c>
      <c r="V358" s="20">
        <f>Data!X358</f>
        <v>0</v>
      </c>
      <c r="W358" s="20">
        <f>Data!Y358</f>
        <v>0</v>
      </c>
      <c r="X358" s="20">
        <f>Data!Z358</f>
        <v>0</v>
      </c>
      <c r="Y358" s="22" t="str">
        <f>Data!AL358</f>
        <v>0300AAAB4200922800000000000000</v>
      </c>
      <c r="Z358" s="20">
        <f>Data!AC358</f>
        <v>0</v>
      </c>
      <c r="AA358" s="20">
        <f>Data!AE358</f>
        <v>0</v>
      </c>
      <c r="AB358" s="20">
        <f>Data!AG358</f>
        <v>0</v>
      </c>
      <c r="AC358" s="20" t="str">
        <f>CONCATENATE(Data!AI358," ",Data!AJ358)</f>
        <v xml:space="preserve"> </v>
      </c>
    </row>
    <row r="359" spans="1:29" ht="15">
      <c r="A359" s="20" t="str">
        <f>Data!A359</f>
        <v>デモ機</v>
      </c>
      <c r="B359" s="20" t="str">
        <f>Data!C359</f>
        <v>Entire Organization</v>
      </c>
      <c r="C359" s="20" t="str">
        <f>IF(Data!E359=0,"",Data!E359)</f>
        <v/>
      </c>
      <c r="D359" s="26">
        <f t="shared" si="5"/>
        <v>42065.904074074075</v>
      </c>
      <c r="E359" s="27">
        <f>Data!F359</f>
        <v>42065.904074074075</v>
      </c>
      <c r="F359" s="20" t="str">
        <f>Data!G359</f>
        <v>DebugRecord</v>
      </c>
      <c r="G359" s="20">
        <f>Data!H359</f>
        <v>0</v>
      </c>
      <c r="H359" s="20">
        <f>Data!I359</f>
        <v>0</v>
      </c>
      <c r="I359" s="20">
        <f>Data!J359</f>
        <v>0</v>
      </c>
      <c r="J359" s="21" t="str">
        <f>IF(Data!K359=0,"",Data!K359)</f>
        <v/>
      </c>
      <c r="K359" s="22">
        <f>Data!L359</f>
        <v>0</v>
      </c>
      <c r="L359" s="21" t="str">
        <f>IF(Data!N359=0,"",Data!N359)</f>
        <v>ErrorRestartModemManagerStateMachine</v>
      </c>
      <c r="M359" s="20">
        <f>Data!O359</f>
        <v>0</v>
      </c>
      <c r="N359" s="20">
        <f>Data!P359</f>
        <v>0</v>
      </c>
      <c r="O359" s="20">
        <f>Data!Q359</f>
        <v>0</v>
      </c>
      <c r="P359" s="20">
        <f>Data!R359</f>
        <v>0</v>
      </c>
      <c r="Q359" s="20">
        <f>Data!S359</f>
        <v>0</v>
      </c>
      <c r="R359" s="20">
        <f>Data!T359</f>
        <v>0</v>
      </c>
      <c r="S359" s="20">
        <f>Data!U359</f>
        <v>0</v>
      </c>
      <c r="T359" s="20">
        <f>Data!V359</f>
        <v>0</v>
      </c>
      <c r="U359" s="20">
        <f>Data!W359</f>
        <v>0</v>
      </c>
      <c r="V359" s="20">
        <f>Data!X359</f>
        <v>0</v>
      </c>
      <c r="W359" s="20">
        <f>Data!Y359</f>
        <v>0</v>
      </c>
      <c r="X359" s="20">
        <f>Data!Z359</f>
        <v>0</v>
      </c>
      <c r="Y359" s="22" t="str">
        <f>Data!AL359</f>
        <v>A70A06012116000200000000000000</v>
      </c>
      <c r="Z359" s="20">
        <f>Data!AC359</f>
        <v>0</v>
      </c>
      <c r="AA359" s="20">
        <f>Data!AE359</f>
        <v>0</v>
      </c>
      <c r="AB359" s="20">
        <f>Data!AG359</f>
        <v>0</v>
      </c>
      <c r="AC359" s="20" t="str">
        <f>CONCATENATE(Data!AI359," ",Data!AJ359)</f>
        <v xml:space="preserve"> </v>
      </c>
    </row>
    <row r="360" spans="1:29" ht="15">
      <c r="A360" s="20" t="str">
        <f>Data!A360</f>
        <v>デモ機</v>
      </c>
      <c r="B360" s="20" t="str">
        <f>Data!C360</f>
        <v>Entire Organization</v>
      </c>
      <c r="C360" s="20" t="str">
        <f>IF(Data!E360=0,"",Data!E360)</f>
        <v/>
      </c>
      <c r="D360" s="26">
        <f t="shared" si="5"/>
        <v>42065.904074074075</v>
      </c>
      <c r="E360" s="27">
        <f>Data!F360</f>
        <v>42065.904074074075</v>
      </c>
      <c r="F360" s="20" t="str">
        <f>Data!G360</f>
        <v>DebugRecord</v>
      </c>
      <c r="G360" s="20">
        <f>Data!H360</f>
        <v>0</v>
      </c>
      <c r="H360" s="20">
        <f>Data!I360</f>
        <v>0</v>
      </c>
      <c r="I360" s="20">
        <f>Data!J360</f>
        <v>0</v>
      </c>
      <c r="J360" s="21" t="str">
        <f>IF(Data!K360=0,"",Data!K360)</f>
        <v/>
      </c>
      <c r="K360" s="22">
        <f>Data!L360</f>
        <v>0</v>
      </c>
      <c r="L360" s="21" t="str">
        <f>IF(Data!N360=0,"",Data!N360)</f>
        <v>DebugErrorRestartModemManager</v>
      </c>
      <c r="M360" s="20">
        <f>Data!O360</f>
        <v>0</v>
      </c>
      <c r="N360" s="20">
        <f>Data!P360</f>
        <v>0</v>
      </c>
      <c r="O360" s="20">
        <f>Data!Q360</f>
        <v>0</v>
      </c>
      <c r="P360" s="20">
        <f>Data!R360</f>
        <v>0</v>
      </c>
      <c r="Q360" s="20">
        <f>Data!S360</f>
        <v>0</v>
      </c>
      <c r="R360" s="20">
        <f>Data!T360</f>
        <v>0</v>
      </c>
      <c r="S360" s="20">
        <f>Data!U360</f>
        <v>0</v>
      </c>
      <c r="T360" s="20">
        <f>Data!V360</f>
        <v>0</v>
      </c>
      <c r="U360" s="20">
        <f>Data!W360</f>
        <v>0</v>
      </c>
      <c r="V360" s="20">
        <f>Data!X360</f>
        <v>0</v>
      </c>
      <c r="W360" s="20">
        <f>Data!Y360</f>
        <v>0</v>
      </c>
      <c r="X360" s="20">
        <f>Data!Z360</f>
        <v>0</v>
      </c>
      <c r="Y360" s="22" t="str">
        <f>Data!AL360</f>
        <v>060A08090809080600000000000000</v>
      </c>
      <c r="Z360" s="20">
        <f>Data!AC360</f>
        <v>0</v>
      </c>
      <c r="AA360" s="20">
        <f>Data!AE360</f>
        <v>0</v>
      </c>
      <c r="AB360" s="20">
        <f>Data!AG360</f>
        <v>0</v>
      </c>
      <c r="AC360" s="20" t="str">
        <f>CONCATENATE(Data!AI360," ",Data!AJ360)</f>
        <v xml:space="preserve"> </v>
      </c>
    </row>
    <row r="361" spans="1:29" ht="15">
      <c r="A361" s="20" t="str">
        <f>Data!A361</f>
        <v>デモ機</v>
      </c>
      <c r="B361" s="20" t="str">
        <f>Data!C361</f>
        <v>Entire Organization</v>
      </c>
      <c r="C361" s="20" t="str">
        <f>IF(Data!E361=0,"",Data!E361)</f>
        <v/>
      </c>
      <c r="D361" s="26">
        <f t="shared" si="5"/>
        <v>42065.904143518521</v>
      </c>
      <c r="E361" s="27">
        <f>Data!F361</f>
        <v>42065.904143518521</v>
      </c>
      <c r="F361" s="20" t="str">
        <f>Data!G361</f>
        <v>GpsRecord</v>
      </c>
      <c r="G361" s="20">
        <f>Data!H361</f>
        <v>0</v>
      </c>
      <c r="H361" s="20">
        <f>Data!I361</f>
        <v>139.4023</v>
      </c>
      <c r="I361" s="20">
        <f>Data!J361</f>
        <v>35.5839</v>
      </c>
      <c r="J361" s="21" t="str">
        <f>IF(Data!K361=0,"",Data!K361)</f>
        <v>日本, 〒194-0213 東京都町田市常盤町 町田街道</v>
      </c>
      <c r="K361" s="22">
        <f>Data!L361</f>
        <v>0</v>
      </c>
      <c r="L361" s="21" t="str">
        <f>IF(Data!N361=0,"",Data!N361)</f>
        <v>CurveTimeOut</v>
      </c>
      <c r="M361" s="20" t="b">
        <f>Data!O361</f>
        <v>1</v>
      </c>
      <c r="N361" s="20" t="b">
        <f>Data!P361</f>
        <v>0</v>
      </c>
      <c r="O361" s="20" t="b">
        <f>Data!Q361</f>
        <v>0</v>
      </c>
      <c r="P361" s="20" t="b">
        <f>Data!R361</f>
        <v>0</v>
      </c>
      <c r="Q361" s="20" t="b">
        <f>Data!S361</f>
        <v>0</v>
      </c>
      <c r="R361" s="20" t="b">
        <f>Data!T361</f>
        <v>0</v>
      </c>
      <c r="S361" s="20" t="b">
        <f>Data!U361</f>
        <v>0</v>
      </c>
      <c r="T361" s="20" t="b">
        <f>Data!V361</f>
        <v>0</v>
      </c>
      <c r="U361" s="20" t="b">
        <f>Data!W361</f>
        <v>0</v>
      </c>
      <c r="V361" s="20" t="b">
        <f>Data!X361</f>
        <v>1</v>
      </c>
      <c r="W361" s="20" t="b">
        <f>Data!Y361</f>
        <v>1</v>
      </c>
      <c r="X361" s="20">
        <f>Data!Z361</f>
        <v>0</v>
      </c>
      <c r="Y361" s="22">
        <f>Data!AL361</f>
        <v>0</v>
      </c>
      <c r="Z361" s="20">
        <f>Data!AC361</f>
        <v>0</v>
      </c>
      <c r="AA361" s="20">
        <f>Data!AE361</f>
        <v>0</v>
      </c>
      <c r="AB361" s="20">
        <f>Data!AG361</f>
        <v>0</v>
      </c>
      <c r="AC361" s="20" t="str">
        <f>CONCATENATE(Data!AI361," ",Data!AJ361)</f>
        <v xml:space="preserve"> </v>
      </c>
    </row>
    <row r="362" spans="1:29" ht="15">
      <c r="A362" s="20" t="str">
        <f>Data!A362</f>
        <v>デモ機</v>
      </c>
      <c r="B362" s="20" t="str">
        <f>Data!C362</f>
        <v>Entire Organization</v>
      </c>
      <c r="C362" s="20" t="str">
        <f>IF(Data!E362=0,"",Data!E362)</f>
        <v/>
      </c>
      <c r="D362" s="26">
        <f t="shared" si="5"/>
        <v>42065.904236192131</v>
      </c>
      <c r="E362" s="27">
        <f>Data!F362</f>
        <v>42065.904236192131</v>
      </c>
      <c r="F362" s="20" t="str">
        <f>Data!G362</f>
        <v>EngineStatusRecord</v>
      </c>
      <c r="G362" s="20">
        <f>Data!H362</f>
        <v>0</v>
      </c>
      <c r="H362" s="20">
        <f>Data!I362</f>
        <v>0</v>
      </c>
      <c r="I362" s="20">
        <f>Data!J362</f>
        <v>0</v>
      </c>
      <c r="J362" s="21" t="str">
        <f>IF(Data!K362=0,"",Data!K362)</f>
        <v/>
      </c>
      <c r="K362" s="22">
        <f>Data!L362</f>
        <v>0</v>
      </c>
      <c r="L362" s="21" t="str">
        <f>IF(Data!N362=0,"",Data!N362)</f>
        <v/>
      </c>
      <c r="M362" s="20">
        <f>Data!O362</f>
        <v>0</v>
      </c>
      <c r="N362" s="20">
        <f>Data!P362</f>
        <v>0</v>
      </c>
      <c r="O362" s="20">
        <f>Data!Q362</f>
        <v>0</v>
      </c>
      <c r="P362" s="20">
        <f>Data!R362</f>
        <v>0</v>
      </c>
      <c r="Q362" s="20">
        <f>Data!S362</f>
        <v>0</v>
      </c>
      <c r="R362" s="20">
        <f>Data!T362</f>
        <v>0</v>
      </c>
      <c r="S362" s="20">
        <f>Data!U362</f>
        <v>0</v>
      </c>
      <c r="T362" s="20">
        <f>Data!V362</f>
        <v>0</v>
      </c>
      <c r="U362" s="20">
        <f>Data!W362</f>
        <v>0</v>
      </c>
      <c r="V362" s="20">
        <f>Data!X362</f>
        <v>0</v>
      </c>
      <c r="W362" s="20">
        <f>Data!Y362</f>
        <v>0</v>
      </c>
      <c r="X362" s="20">
        <f>Data!Z362</f>
        <v>0</v>
      </c>
      <c r="Y362" s="22">
        <f>Data!AL362</f>
        <v>0</v>
      </c>
      <c r="Z362" s="20" t="str">
        <f>Data!AC362</f>
        <v>Engine RPM</v>
      </c>
      <c r="AA362" s="20" t="str">
        <f>Data!AE362</f>
        <v/>
      </c>
      <c r="AB362" s="20">
        <f>Data!AG362</f>
        <v>0</v>
      </c>
      <c r="AC362" s="20" t="str">
        <f>CONCATENATE(Data!AI362," ",Data!AJ362)</f>
        <v>782.25 RPM</v>
      </c>
    </row>
    <row r="363" spans="1:29" ht="15">
      <c r="A363" s="20" t="str">
        <f>Data!A363</f>
        <v>デモ機</v>
      </c>
      <c r="B363" s="20" t="str">
        <f>Data!C363</f>
        <v>Entire Organization</v>
      </c>
      <c r="C363" s="20" t="str">
        <f>IF(Data!E363=0,"",Data!E363)</f>
        <v/>
      </c>
      <c r="D363" s="26">
        <f t="shared" si="5"/>
        <v>42065.904247685183</v>
      </c>
      <c r="E363" s="27">
        <f>Data!F363</f>
        <v>42065.904247685183</v>
      </c>
      <c r="F363" s="20" t="str">
        <f>Data!G363</f>
        <v>GpsRecord</v>
      </c>
      <c r="G363" s="20">
        <f>Data!H363</f>
        <v>3</v>
      </c>
      <c r="H363" s="20">
        <f>Data!I363</f>
        <v>139.40231</v>
      </c>
      <c r="I363" s="20">
        <f>Data!J363</f>
        <v>35.583950000000002</v>
      </c>
      <c r="J363" s="21" t="str">
        <f>IF(Data!K363=0,"",Data!K363)</f>
        <v>日本, 〒194-0213 東京都町田市常盤町 町田街道</v>
      </c>
      <c r="K363" s="22">
        <f>Data!L363</f>
        <v>0</v>
      </c>
      <c r="L363" s="21" t="str">
        <f>IF(Data!N363=0,"",Data!N363)</f>
        <v>CurveZeroSpeed</v>
      </c>
      <c r="M363" s="20" t="b">
        <f>Data!O363</f>
        <v>1</v>
      </c>
      <c r="N363" s="20" t="b">
        <f>Data!P363</f>
        <v>0</v>
      </c>
      <c r="O363" s="20" t="b">
        <f>Data!Q363</f>
        <v>0</v>
      </c>
      <c r="P363" s="20" t="b">
        <f>Data!R363</f>
        <v>0</v>
      </c>
      <c r="Q363" s="20" t="b">
        <f>Data!S363</f>
        <v>0</v>
      </c>
      <c r="R363" s="20" t="b">
        <f>Data!T363</f>
        <v>0</v>
      </c>
      <c r="S363" s="20" t="b">
        <f>Data!U363</f>
        <v>0</v>
      </c>
      <c r="T363" s="20" t="b">
        <f>Data!V363</f>
        <v>0</v>
      </c>
      <c r="U363" s="20" t="b">
        <f>Data!W363</f>
        <v>0</v>
      </c>
      <c r="V363" s="20" t="b">
        <f>Data!X363</f>
        <v>1</v>
      </c>
      <c r="W363" s="20" t="b">
        <f>Data!Y363</f>
        <v>1</v>
      </c>
      <c r="X363" s="20">
        <f>Data!Z363</f>
        <v>0</v>
      </c>
      <c r="Y363" s="22">
        <f>Data!AL363</f>
        <v>0</v>
      </c>
      <c r="Z363" s="20">
        <f>Data!AC363</f>
        <v>0</v>
      </c>
      <c r="AA363" s="20">
        <f>Data!AE363</f>
        <v>0</v>
      </c>
      <c r="AB363" s="20">
        <f>Data!AG363</f>
        <v>0</v>
      </c>
      <c r="AC363" s="20" t="str">
        <f>CONCATENATE(Data!AI363," ",Data!AJ363)</f>
        <v xml:space="preserve"> </v>
      </c>
    </row>
    <row r="364" spans="1:29" ht="15">
      <c r="A364" s="20" t="str">
        <f>Data!A364</f>
        <v>デモ機</v>
      </c>
      <c r="B364" s="20" t="str">
        <f>Data!C364</f>
        <v>Entire Organization</v>
      </c>
      <c r="C364" s="20" t="str">
        <f>IF(Data!E364=0,"",Data!E364)</f>
        <v/>
      </c>
      <c r="D364" s="26">
        <f t="shared" si="5"/>
        <v>42065.904259409719</v>
      </c>
      <c r="E364" s="27">
        <f>Data!F364</f>
        <v>42065.904259409719</v>
      </c>
      <c r="F364" s="20" t="str">
        <f>Data!G364</f>
        <v>EngineStatusRecord</v>
      </c>
      <c r="G364" s="20">
        <f>Data!H364</f>
        <v>0</v>
      </c>
      <c r="H364" s="20">
        <f>Data!I364</f>
        <v>0</v>
      </c>
      <c r="I364" s="20">
        <f>Data!J364</f>
        <v>0</v>
      </c>
      <c r="J364" s="21" t="str">
        <f>IF(Data!K364=0,"",Data!K364)</f>
        <v/>
      </c>
      <c r="K364" s="22">
        <f>Data!L364</f>
        <v>0</v>
      </c>
      <c r="L364" s="21" t="str">
        <f>IF(Data!N364=0,"",Data!N364)</f>
        <v/>
      </c>
      <c r="M364" s="20">
        <f>Data!O364</f>
        <v>0</v>
      </c>
      <c r="N364" s="20">
        <f>Data!P364</f>
        <v>0</v>
      </c>
      <c r="O364" s="20">
        <f>Data!Q364</f>
        <v>0</v>
      </c>
      <c r="P364" s="20">
        <f>Data!R364</f>
        <v>0</v>
      </c>
      <c r="Q364" s="20">
        <f>Data!S364</f>
        <v>0</v>
      </c>
      <c r="R364" s="20">
        <f>Data!T364</f>
        <v>0</v>
      </c>
      <c r="S364" s="20">
        <f>Data!U364</f>
        <v>0</v>
      </c>
      <c r="T364" s="20">
        <f>Data!V364</f>
        <v>0</v>
      </c>
      <c r="U364" s="20">
        <f>Data!W364</f>
        <v>0</v>
      </c>
      <c r="V364" s="20">
        <f>Data!X364</f>
        <v>0</v>
      </c>
      <c r="W364" s="20">
        <f>Data!Y364</f>
        <v>0</v>
      </c>
      <c r="X364" s="20">
        <f>Data!Z364</f>
        <v>0</v>
      </c>
      <c r="Y364" s="22">
        <f>Data!AL364</f>
        <v>0</v>
      </c>
      <c r="Z364" s="20" t="str">
        <f>Data!AC364</f>
        <v>Engine RPM</v>
      </c>
      <c r="AA364" s="20" t="str">
        <f>Data!AE364</f>
        <v/>
      </c>
      <c r="AB364" s="20">
        <f>Data!AG364</f>
        <v>0</v>
      </c>
      <c r="AC364" s="20" t="str">
        <f>CONCATENATE(Data!AI364," ",Data!AJ364)</f>
        <v>1982.75 RPM</v>
      </c>
    </row>
    <row r="365" spans="1:29" ht="15">
      <c r="A365" s="20" t="str">
        <f>Data!A365</f>
        <v>デモ機</v>
      </c>
      <c r="B365" s="20" t="str">
        <f>Data!C365</f>
        <v>Entire Organization</v>
      </c>
      <c r="C365" s="20" t="str">
        <f>IF(Data!E365=0,"",Data!E365)</f>
        <v/>
      </c>
      <c r="D365" s="26">
        <f t="shared" si="5"/>
        <v>42065.904282488424</v>
      </c>
      <c r="E365" s="27">
        <f>Data!F365</f>
        <v>42065.904282488424</v>
      </c>
      <c r="F365" s="20" t="str">
        <f>Data!G365</f>
        <v>EngineStatusRecord</v>
      </c>
      <c r="G365" s="20">
        <f>Data!H365</f>
        <v>0</v>
      </c>
      <c r="H365" s="20">
        <f>Data!I365</f>
        <v>0</v>
      </c>
      <c r="I365" s="20">
        <f>Data!J365</f>
        <v>0</v>
      </c>
      <c r="J365" s="21" t="str">
        <f>IF(Data!K365=0,"",Data!K365)</f>
        <v/>
      </c>
      <c r="K365" s="22">
        <f>Data!L365</f>
        <v>0</v>
      </c>
      <c r="L365" s="21" t="str">
        <f>IF(Data!N365=0,"",Data!N365)</f>
        <v/>
      </c>
      <c r="M365" s="20">
        <f>Data!O365</f>
        <v>0</v>
      </c>
      <c r="N365" s="20">
        <f>Data!P365</f>
        <v>0</v>
      </c>
      <c r="O365" s="20">
        <f>Data!Q365</f>
        <v>0</v>
      </c>
      <c r="P365" s="20">
        <f>Data!R365</f>
        <v>0</v>
      </c>
      <c r="Q365" s="20">
        <f>Data!S365</f>
        <v>0</v>
      </c>
      <c r="R365" s="20">
        <f>Data!T365</f>
        <v>0</v>
      </c>
      <c r="S365" s="20">
        <f>Data!U365</f>
        <v>0</v>
      </c>
      <c r="T365" s="20">
        <f>Data!V365</f>
        <v>0</v>
      </c>
      <c r="U365" s="20">
        <f>Data!W365</f>
        <v>0</v>
      </c>
      <c r="V365" s="20">
        <f>Data!X365</f>
        <v>0</v>
      </c>
      <c r="W365" s="20">
        <f>Data!Y365</f>
        <v>0</v>
      </c>
      <c r="X365" s="20">
        <f>Data!Z365</f>
        <v>0</v>
      </c>
      <c r="Y365" s="22">
        <f>Data!AL365</f>
        <v>0</v>
      </c>
      <c r="Z365" s="20" t="str">
        <f>Data!AC365</f>
        <v>Engine RPM</v>
      </c>
      <c r="AA365" s="20" t="str">
        <f>Data!AE365</f>
        <v/>
      </c>
      <c r="AB365" s="20">
        <f>Data!AG365</f>
        <v>0</v>
      </c>
      <c r="AC365" s="20" t="str">
        <f>CONCATENATE(Data!AI365," ",Data!AJ365)</f>
        <v>1414.25 RPM</v>
      </c>
    </row>
    <row r="366" spans="1:29" ht="15">
      <c r="A366" s="20" t="str">
        <f>Data!A366</f>
        <v>デモ機</v>
      </c>
      <c r="B366" s="20" t="str">
        <f>Data!C366</f>
        <v>Entire Organization</v>
      </c>
      <c r="C366" s="20" t="str">
        <f>IF(Data!E366=0,"",Data!E366)</f>
        <v/>
      </c>
      <c r="D366" s="26">
        <f t="shared" si="5"/>
        <v>42065.904305555552</v>
      </c>
      <c r="E366" s="27">
        <f>Data!F366</f>
        <v>42065.904305555552</v>
      </c>
      <c r="F366" s="20" t="str">
        <f>Data!G366</f>
        <v>GpsRecord</v>
      </c>
      <c r="G366" s="20">
        <f>Data!H366</f>
        <v>29</v>
      </c>
      <c r="H366" s="20">
        <f>Data!I366</f>
        <v>139.40260000000001</v>
      </c>
      <c r="I366" s="20">
        <f>Data!J366</f>
        <v>35.583770000000001</v>
      </c>
      <c r="J366" s="21" t="str">
        <f>IF(Data!K366=0,"",Data!K366)</f>
        <v>日本, 〒194-0213 東京都町田市常盤町 町田街道</v>
      </c>
      <c r="K366" s="22">
        <f>Data!L366</f>
        <v>0</v>
      </c>
      <c r="L366" s="21" t="str">
        <f>IF(Data!N366=0,"",Data!N366)</f>
        <v>CurveSpeed</v>
      </c>
      <c r="M366" s="20" t="b">
        <f>Data!O366</f>
        <v>1</v>
      </c>
      <c r="N366" s="20" t="b">
        <f>Data!P366</f>
        <v>0</v>
      </c>
      <c r="O366" s="20" t="b">
        <f>Data!Q366</f>
        <v>0</v>
      </c>
      <c r="P366" s="20" t="b">
        <f>Data!R366</f>
        <v>0</v>
      </c>
      <c r="Q366" s="20" t="b">
        <f>Data!S366</f>
        <v>0</v>
      </c>
      <c r="R366" s="20" t="b">
        <f>Data!T366</f>
        <v>0</v>
      </c>
      <c r="S366" s="20" t="b">
        <f>Data!U366</f>
        <v>0</v>
      </c>
      <c r="T366" s="20" t="b">
        <f>Data!V366</f>
        <v>0</v>
      </c>
      <c r="U366" s="20" t="b">
        <f>Data!W366</f>
        <v>0</v>
      </c>
      <c r="V366" s="20" t="b">
        <f>Data!X366</f>
        <v>1</v>
      </c>
      <c r="W366" s="20" t="b">
        <f>Data!Y366</f>
        <v>1</v>
      </c>
      <c r="X366" s="20">
        <f>Data!Z366</f>
        <v>0</v>
      </c>
      <c r="Y366" s="22">
        <f>Data!AL366</f>
        <v>0</v>
      </c>
      <c r="Z366" s="20">
        <f>Data!AC366</f>
        <v>0</v>
      </c>
      <c r="AA366" s="20">
        <f>Data!AE366</f>
        <v>0</v>
      </c>
      <c r="AB366" s="20">
        <f>Data!AG366</f>
        <v>0</v>
      </c>
      <c r="AC366" s="20" t="str">
        <f>CONCATENATE(Data!AI366," ",Data!AJ366)</f>
        <v xml:space="preserve"> </v>
      </c>
    </row>
    <row r="367" spans="1:29" ht="15">
      <c r="A367" s="20" t="str">
        <f>Data!A367</f>
        <v>デモ機</v>
      </c>
      <c r="B367" s="20" t="str">
        <f>Data!C367</f>
        <v>Entire Organization</v>
      </c>
      <c r="C367" s="20" t="str">
        <f>IF(Data!E367=0,"",Data!E367)</f>
        <v/>
      </c>
      <c r="D367" s="26">
        <f t="shared" si="5"/>
        <v>42065.904409722221</v>
      </c>
      <c r="E367" s="27">
        <f>Data!F367</f>
        <v>42065.904409722221</v>
      </c>
      <c r="F367" s="20" t="str">
        <f>Data!G367</f>
        <v>GpsRecord</v>
      </c>
      <c r="G367" s="20">
        <f>Data!H367</f>
        <v>41</v>
      </c>
      <c r="H367" s="20">
        <f>Data!I367</f>
        <v>139.40332000000001</v>
      </c>
      <c r="I367" s="20">
        <f>Data!J367</f>
        <v>35.583159999999999</v>
      </c>
      <c r="J367" s="21" t="str">
        <f>IF(Data!K367=0,"",Data!K367)</f>
        <v>日本, 〒194-0213 東京都町田市常盤町 町田街道</v>
      </c>
      <c r="K367" s="22">
        <f>Data!L367</f>
        <v>0</v>
      </c>
      <c r="L367" s="21" t="str">
        <f>IF(Data!N367=0,"",Data!N367)</f>
        <v>CurveBased</v>
      </c>
      <c r="M367" s="20" t="b">
        <f>Data!O367</f>
        <v>1</v>
      </c>
      <c r="N367" s="20" t="b">
        <f>Data!P367</f>
        <v>0</v>
      </c>
      <c r="O367" s="20" t="b">
        <f>Data!Q367</f>
        <v>0</v>
      </c>
      <c r="P367" s="20" t="b">
        <f>Data!R367</f>
        <v>0</v>
      </c>
      <c r="Q367" s="20" t="b">
        <f>Data!S367</f>
        <v>0</v>
      </c>
      <c r="R367" s="20" t="b">
        <f>Data!T367</f>
        <v>0</v>
      </c>
      <c r="S367" s="20" t="b">
        <f>Data!U367</f>
        <v>0</v>
      </c>
      <c r="T367" s="20" t="b">
        <f>Data!V367</f>
        <v>0</v>
      </c>
      <c r="U367" s="20" t="b">
        <f>Data!W367</f>
        <v>0</v>
      </c>
      <c r="V367" s="20" t="b">
        <f>Data!X367</f>
        <v>1</v>
      </c>
      <c r="W367" s="20" t="b">
        <f>Data!Y367</f>
        <v>1</v>
      </c>
      <c r="X367" s="20">
        <f>Data!Z367</f>
        <v>0</v>
      </c>
      <c r="Y367" s="22">
        <f>Data!AL367</f>
        <v>0</v>
      </c>
      <c r="Z367" s="20">
        <f>Data!AC367</f>
        <v>0</v>
      </c>
      <c r="AA367" s="20">
        <f>Data!AE367</f>
        <v>0</v>
      </c>
      <c r="AB367" s="20">
        <f>Data!AG367</f>
        <v>0</v>
      </c>
      <c r="AC367" s="20" t="str">
        <f>CONCATENATE(Data!AI367," ",Data!AJ367)</f>
        <v xml:space="preserve"> </v>
      </c>
    </row>
    <row r="368" spans="1:29" ht="15">
      <c r="A368" s="20" t="str">
        <f>Data!A368</f>
        <v>デモ機</v>
      </c>
      <c r="B368" s="20" t="str">
        <f>Data!C368</f>
        <v>Entire Organization</v>
      </c>
      <c r="C368" s="20" t="str">
        <f>IF(Data!E368=0,"",Data!E368)</f>
        <v/>
      </c>
      <c r="D368" s="26">
        <f t="shared" si="5"/>
        <v>42065.904467592591</v>
      </c>
      <c r="E368" s="27">
        <f>Data!F368</f>
        <v>42065.904467592591</v>
      </c>
      <c r="F368" s="20" t="str">
        <f>Data!G368</f>
        <v>DebugRecord</v>
      </c>
      <c r="G368" s="20">
        <f>Data!H368</f>
        <v>0</v>
      </c>
      <c r="H368" s="20">
        <f>Data!I368</f>
        <v>0</v>
      </c>
      <c r="I368" s="20">
        <f>Data!J368</f>
        <v>0</v>
      </c>
      <c r="J368" s="21" t="str">
        <f>IF(Data!K368=0,"",Data!K368)</f>
        <v/>
      </c>
      <c r="K368" s="22">
        <f>Data!L368</f>
        <v>0</v>
      </c>
      <c r="L368" s="21" t="str">
        <f>IF(Data!N368=0,"",Data!N368)</f>
        <v>ModemManagerRetryFail</v>
      </c>
      <c r="M368" s="20">
        <f>Data!O368</f>
        <v>0</v>
      </c>
      <c r="N368" s="20">
        <f>Data!P368</f>
        <v>0</v>
      </c>
      <c r="O368" s="20">
        <f>Data!Q368</f>
        <v>0</v>
      </c>
      <c r="P368" s="20">
        <f>Data!R368</f>
        <v>0</v>
      </c>
      <c r="Q368" s="20">
        <f>Data!S368</f>
        <v>0</v>
      </c>
      <c r="R368" s="20">
        <f>Data!T368</f>
        <v>0</v>
      </c>
      <c r="S368" s="20">
        <f>Data!U368</f>
        <v>0</v>
      </c>
      <c r="T368" s="20">
        <f>Data!V368</f>
        <v>0</v>
      </c>
      <c r="U368" s="20">
        <f>Data!W368</f>
        <v>0</v>
      </c>
      <c r="V368" s="20">
        <f>Data!X368</f>
        <v>0</v>
      </c>
      <c r="W368" s="20">
        <f>Data!Y368</f>
        <v>0</v>
      </c>
      <c r="X368" s="20">
        <f>Data!Z368</f>
        <v>0</v>
      </c>
      <c r="Y368" s="22" t="str">
        <f>Data!AL368</f>
        <v>4E545420444F800000000000000000</v>
      </c>
      <c r="Z368" s="20">
        <f>Data!AC368</f>
        <v>0</v>
      </c>
      <c r="AA368" s="20">
        <f>Data!AE368</f>
        <v>0</v>
      </c>
      <c r="AB368" s="20">
        <f>Data!AG368</f>
        <v>0</v>
      </c>
      <c r="AC368" s="20" t="str">
        <f>CONCATENATE(Data!AI368," ",Data!AJ368)</f>
        <v xml:space="preserve"> </v>
      </c>
    </row>
    <row r="369" spans="1:29" ht="15">
      <c r="A369" s="20" t="str">
        <f>Data!A369</f>
        <v>デモ機</v>
      </c>
      <c r="B369" s="20" t="str">
        <f>Data!C369</f>
        <v>Entire Organization</v>
      </c>
      <c r="C369" s="20" t="str">
        <f>IF(Data!E369=0,"",Data!E369)</f>
        <v/>
      </c>
      <c r="D369" s="26">
        <f t="shared" si="5"/>
        <v>42065.904467673608</v>
      </c>
      <c r="E369" s="27">
        <f>Data!F369</f>
        <v>42065.904467673608</v>
      </c>
      <c r="F369" s="20" t="str">
        <f>Data!G369</f>
        <v>DebugRecord</v>
      </c>
      <c r="G369" s="20">
        <f>Data!H369</f>
        <v>0</v>
      </c>
      <c r="H369" s="20">
        <f>Data!I369</f>
        <v>0</v>
      </c>
      <c r="I369" s="20">
        <f>Data!J369</f>
        <v>0</v>
      </c>
      <c r="J369" s="21" t="str">
        <f>IF(Data!K369=0,"",Data!K369)</f>
        <v/>
      </c>
      <c r="K369" s="22">
        <f>Data!L369</f>
        <v>0</v>
      </c>
      <c r="L369" s="21" t="str">
        <f>IF(Data!N369=0,"",Data!N369)</f>
        <v>DebugErrorRestartModemManager</v>
      </c>
      <c r="M369" s="20">
        <f>Data!O369</f>
        <v>0</v>
      </c>
      <c r="N369" s="20">
        <f>Data!P369</f>
        <v>0</v>
      </c>
      <c r="O369" s="20">
        <f>Data!Q369</f>
        <v>0</v>
      </c>
      <c r="P369" s="20">
        <f>Data!R369</f>
        <v>0</v>
      </c>
      <c r="Q369" s="20">
        <f>Data!S369</f>
        <v>0</v>
      </c>
      <c r="R369" s="20">
        <f>Data!T369</f>
        <v>0</v>
      </c>
      <c r="S369" s="20">
        <f>Data!U369</f>
        <v>0</v>
      </c>
      <c r="T369" s="20">
        <f>Data!V369</f>
        <v>0</v>
      </c>
      <c r="U369" s="20">
        <f>Data!W369</f>
        <v>0</v>
      </c>
      <c r="V369" s="20">
        <f>Data!X369</f>
        <v>0</v>
      </c>
      <c r="W369" s="20">
        <f>Data!Y369</f>
        <v>0</v>
      </c>
      <c r="X369" s="20">
        <f>Data!Z369</f>
        <v>0</v>
      </c>
      <c r="Y369" s="22" t="str">
        <f>Data!AL369</f>
        <v>0203060A0809080900000000000000</v>
      </c>
      <c r="Z369" s="20">
        <f>Data!AC369</f>
        <v>0</v>
      </c>
      <c r="AA369" s="20">
        <f>Data!AE369</f>
        <v>0</v>
      </c>
      <c r="AB369" s="20">
        <f>Data!AG369</f>
        <v>0</v>
      </c>
      <c r="AC369" s="20" t="str">
        <f>CONCATENATE(Data!AI369," ",Data!AJ369)</f>
        <v xml:space="preserve"> </v>
      </c>
    </row>
    <row r="370" spans="1:29" ht="15">
      <c r="A370" s="20" t="str">
        <f>Data!A370</f>
        <v>デモ機</v>
      </c>
      <c r="B370" s="20" t="str">
        <f>Data!C370</f>
        <v>Entire Organization</v>
      </c>
      <c r="C370" s="20" t="str">
        <f>IF(Data!E370=0,"",Data!E370)</f>
        <v/>
      </c>
      <c r="D370" s="26">
        <f t="shared" si="5"/>
        <v>42065.904467673608</v>
      </c>
      <c r="E370" s="27">
        <f>Data!F370</f>
        <v>42065.904467673608</v>
      </c>
      <c r="F370" s="20" t="str">
        <f>Data!G370</f>
        <v>DebugRecord</v>
      </c>
      <c r="G370" s="20">
        <f>Data!H370</f>
        <v>0</v>
      </c>
      <c r="H370" s="20">
        <f>Data!I370</f>
        <v>0</v>
      </c>
      <c r="I370" s="20">
        <f>Data!J370</f>
        <v>0</v>
      </c>
      <c r="J370" s="21" t="str">
        <f>IF(Data!K370=0,"",Data!K370)</f>
        <v/>
      </c>
      <c r="K370" s="22">
        <f>Data!L370</f>
        <v>0</v>
      </c>
      <c r="L370" s="21" t="str">
        <f>IF(Data!N370=0,"",Data!N370)</f>
        <v>ErrorRestartModemManagerStateMachine</v>
      </c>
      <c r="M370" s="20">
        <f>Data!O370</f>
        <v>0</v>
      </c>
      <c r="N370" s="20">
        <f>Data!P370</f>
        <v>0</v>
      </c>
      <c r="O370" s="20">
        <f>Data!Q370</f>
        <v>0</v>
      </c>
      <c r="P370" s="20">
        <f>Data!R370</f>
        <v>0</v>
      </c>
      <c r="Q370" s="20">
        <f>Data!S370</f>
        <v>0</v>
      </c>
      <c r="R370" s="20">
        <f>Data!T370</f>
        <v>0</v>
      </c>
      <c r="S370" s="20">
        <f>Data!U370</f>
        <v>0</v>
      </c>
      <c r="T370" s="20">
        <f>Data!V370</f>
        <v>0</v>
      </c>
      <c r="U370" s="20">
        <f>Data!W370</f>
        <v>0</v>
      </c>
      <c r="V370" s="20">
        <f>Data!X370</f>
        <v>0</v>
      </c>
      <c r="W370" s="20">
        <f>Data!Y370</f>
        <v>0</v>
      </c>
      <c r="X370" s="20">
        <f>Data!Z370</f>
        <v>0</v>
      </c>
      <c r="Y370" s="22" t="str">
        <f>Data!AL370</f>
        <v>870302000016000200000000000000</v>
      </c>
      <c r="Z370" s="20">
        <f>Data!AC370</f>
        <v>0</v>
      </c>
      <c r="AA370" s="20">
        <f>Data!AE370</f>
        <v>0</v>
      </c>
      <c r="AB370" s="20">
        <f>Data!AG370</f>
        <v>0</v>
      </c>
      <c r="AC370" s="20" t="str">
        <f>CONCATENATE(Data!AI370," ",Data!AJ370)</f>
        <v xml:space="preserve"> </v>
      </c>
    </row>
    <row r="371" spans="1:29" ht="15">
      <c r="A371" s="20" t="str">
        <f>Data!A371</f>
        <v>デモ機</v>
      </c>
      <c r="B371" s="20" t="str">
        <f>Data!C371</f>
        <v>Entire Organization</v>
      </c>
      <c r="C371" s="20" t="str">
        <f>IF(Data!E371=0,"",Data!E371)</f>
        <v/>
      </c>
      <c r="D371" s="26">
        <f t="shared" si="5"/>
        <v>42065.904467673608</v>
      </c>
      <c r="E371" s="27">
        <f>Data!F371</f>
        <v>42065.904467673608</v>
      </c>
      <c r="F371" s="20" t="str">
        <f>Data!G371</f>
        <v>DebugRecord</v>
      </c>
      <c r="G371" s="20">
        <f>Data!H371</f>
        <v>0</v>
      </c>
      <c r="H371" s="20">
        <f>Data!I371</f>
        <v>0</v>
      </c>
      <c r="I371" s="20">
        <f>Data!J371</f>
        <v>0</v>
      </c>
      <c r="J371" s="21" t="str">
        <f>IF(Data!K371=0,"",Data!K371)</f>
        <v/>
      </c>
      <c r="K371" s="22">
        <f>Data!L371</f>
        <v>0</v>
      </c>
      <c r="L371" s="21" t="str">
        <f>IF(Data!N371=0,"",Data!N371)</f>
        <v>DebugErrorRestartModem</v>
      </c>
      <c r="M371" s="20">
        <f>Data!O371</f>
        <v>0</v>
      </c>
      <c r="N371" s="20">
        <f>Data!P371</f>
        <v>0</v>
      </c>
      <c r="O371" s="20">
        <f>Data!Q371</f>
        <v>0</v>
      </c>
      <c r="P371" s="20">
        <f>Data!R371</f>
        <v>0</v>
      </c>
      <c r="Q371" s="20">
        <f>Data!S371</f>
        <v>0</v>
      </c>
      <c r="R371" s="20">
        <f>Data!T371</f>
        <v>0</v>
      </c>
      <c r="S371" s="20">
        <f>Data!U371</f>
        <v>0</v>
      </c>
      <c r="T371" s="20">
        <f>Data!V371</f>
        <v>0</v>
      </c>
      <c r="U371" s="20">
        <f>Data!W371</f>
        <v>0</v>
      </c>
      <c r="V371" s="20">
        <f>Data!X371</f>
        <v>0</v>
      </c>
      <c r="W371" s="20">
        <f>Data!Y371</f>
        <v>0</v>
      </c>
      <c r="X371" s="20">
        <f>Data!Z371</f>
        <v>0</v>
      </c>
      <c r="Y371" s="22" t="str">
        <f>Data!AL371</f>
        <v>7886ABAAB7A9BAB900000000000000</v>
      </c>
      <c r="Z371" s="20">
        <f>Data!AC371</f>
        <v>0</v>
      </c>
      <c r="AA371" s="20">
        <f>Data!AE371</f>
        <v>0</v>
      </c>
      <c r="AB371" s="20">
        <f>Data!AG371</f>
        <v>0</v>
      </c>
      <c r="AC371" s="20" t="str">
        <f>CONCATENATE(Data!AI371," ",Data!AJ371)</f>
        <v xml:space="preserve"> </v>
      </c>
    </row>
    <row r="372" spans="1:29" ht="15">
      <c r="A372" s="20" t="str">
        <f>Data!A372</f>
        <v>デモ機</v>
      </c>
      <c r="B372" s="20" t="str">
        <f>Data!C372</f>
        <v>Entire Organization</v>
      </c>
      <c r="C372" s="20" t="str">
        <f>IF(Data!E372=0,"",Data!E372)</f>
        <v/>
      </c>
      <c r="D372" s="26">
        <f t="shared" si="5"/>
        <v>42065.904467673608</v>
      </c>
      <c r="E372" s="27">
        <f>Data!F372</f>
        <v>42065.904467673608</v>
      </c>
      <c r="F372" s="20" t="str">
        <f>Data!G372</f>
        <v>DebugRecord</v>
      </c>
      <c r="G372" s="20">
        <f>Data!H372</f>
        <v>0</v>
      </c>
      <c r="H372" s="20">
        <f>Data!I372</f>
        <v>0</v>
      </c>
      <c r="I372" s="20">
        <f>Data!J372</f>
        <v>0</v>
      </c>
      <c r="J372" s="21" t="str">
        <f>IF(Data!K372=0,"",Data!K372)</f>
        <v/>
      </c>
      <c r="K372" s="22">
        <f>Data!L372</f>
        <v>0</v>
      </c>
      <c r="L372" s="21" t="str">
        <f>IF(Data!N372=0,"",Data!N372)</f>
        <v>ErrorRestartGsmcdmaStateMachine</v>
      </c>
      <c r="M372" s="20">
        <f>Data!O372</f>
        <v>0</v>
      </c>
      <c r="N372" s="20">
        <f>Data!P372</f>
        <v>0</v>
      </c>
      <c r="O372" s="20">
        <f>Data!Q372</f>
        <v>0</v>
      </c>
      <c r="P372" s="20">
        <f>Data!R372</f>
        <v>0</v>
      </c>
      <c r="Q372" s="20">
        <f>Data!S372</f>
        <v>0</v>
      </c>
      <c r="R372" s="20">
        <f>Data!T372</f>
        <v>0</v>
      </c>
      <c r="S372" s="20">
        <f>Data!U372</f>
        <v>0</v>
      </c>
      <c r="T372" s="20">
        <f>Data!V372</f>
        <v>0</v>
      </c>
      <c r="U372" s="20">
        <f>Data!W372</f>
        <v>0</v>
      </c>
      <c r="V372" s="20">
        <f>Data!X372</f>
        <v>0</v>
      </c>
      <c r="W372" s="20">
        <f>Data!Y372</f>
        <v>0</v>
      </c>
      <c r="X372" s="20">
        <f>Data!Z372</f>
        <v>0</v>
      </c>
      <c r="Y372" s="22" t="str">
        <f>Data!AL372</f>
        <v>040086784200920000000000000000</v>
      </c>
      <c r="Z372" s="20">
        <f>Data!AC372</f>
        <v>0</v>
      </c>
      <c r="AA372" s="20">
        <f>Data!AE372</f>
        <v>0</v>
      </c>
      <c r="AB372" s="20">
        <f>Data!AG372</f>
        <v>0</v>
      </c>
      <c r="AC372" s="20" t="str">
        <f>CONCATENATE(Data!AI372," ",Data!AJ372)</f>
        <v xml:space="preserve"> </v>
      </c>
    </row>
    <row r="373" spans="1:29" ht="15">
      <c r="A373" s="20" t="str">
        <f>Data!A373</f>
        <v>デモ機</v>
      </c>
      <c r="B373" s="20" t="str">
        <f>Data!C373</f>
        <v>Entire Organization</v>
      </c>
      <c r="C373" s="20" t="str">
        <f>IF(Data!E373=0,"",Data!E373)</f>
        <v/>
      </c>
      <c r="D373" s="26">
        <f t="shared" si="5"/>
        <v>42065.904521990742</v>
      </c>
      <c r="E373" s="27">
        <f>Data!F373</f>
        <v>42065.904521990742</v>
      </c>
      <c r="F373" s="20" t="str">
        <f>Data!G373</f>
        <v>EngineStatusRecord</v>
      </c>
      <c r="G373" s="20">
        <f>Data!H373</f>
        <v>0</v>
      </c>
      <c r="H373" s="20">
        <f>Data!I373</f>
        <v>0</v>
      </c>
      <c r="I373" s="20">
        <f>Data!J373</f>
        <v>0</v>
      </c>
      <c r="J373" s="21" t="str">
        <f>IF(Data!K373=0,"",Data!K373)</f>
        <v/>
      </c>
      <c r="K373" s="22">
        <f>Data!L373</f>
        <v>0</v>
      </c>
      <c r="L373" s="21" t="str">
        <f>IF(Data!N373=0,"",Data!N373)</f>
        <v/>
      </c>
      <c r="M373" s="20">
        <f>Data!O373</f>
        <v>0</v>
      </c>
      <c r="N373" s="20">
        <f>Data!P373</f>
        <v>0</v>
      </c>
      <c r="O373" s="20">
        <f>Data!Q373</f>
        <v>0</v>
      </c>
      <c r="P373" s="20">
        <f>Data!R373</f>
        <v>0</v>
      </c>
      <c r="Q373" s="20">
        <f>Data!S373</f>
        <v>0</v>
      </c>
      <c r="R373" s="20">
        <f>Data!T373</f>
        <v>0</v>
      </c>
      <c r="S373" s="20">
        <f>Data!U373</f>
        <v>0</v>
      </c>
      <c r="T373" s="20">
        <f>Data!V373</f>
        <v>0</v>
      </c>
      <c r="U373" s="20">
        <f>Data!W373</f>
        <v>0</v>
      </c>
      <c r="V373" s="20">
        <f>Data!X373</f>
        <v>0</v>
      </c>
      <c r="W373" s="20">
        <f>Data!Y373</f>
        <v>0</v>
      </c>
      <c r="X373" s="20">
        <f>Data!Z373</f>
        <v>0</v>
      </c>
      <c r="Y373" s="22">
        <f>Data!AL373</f>
        <v>0</v>
      </c>
      <c r="Z373" s="20" t="str">
        <f>Data!AC373</f>
        <v>Telematics device voltage</v>
      </c>
      <c r="AA373" s="20" t="str">
        <f>Data!AE373</f>
        <v/>
      </c>
      <c r="AB373" s="20">
        <f>Data!AG373</f>
        <v>0</v>
      </c>
      <c r="AC373" s="20" t="str">
        <f>CONCATENATE(Data!AI373," ",Data!AJ373)</f>
        <v>13.2515554 V</v>
      </c>
    </row>
    <row r="374" spans="1:29" ht="15">
      <c r="A374" s="20" t="str">
        <f>Data!A374</f>
        <v>デモ機</v>
      </c>
      <c r="B374" s="20" t="str">
        <f>Data!C374</f>
        <v>Entire Organization</v>
      </c>
      <c r="C374" s="20" t="str">
        <f>IF(Data!E374=0,"",Data!E374)</f>
        <v/>
      </c>
      <c r="D374" s="26">
        <f t="shared" si="5"/>
        <v>42065.904664351852</v>
      </c>
      <c r="E374" s="27">
        <f>Data!F374</f>
        <v>42065.904664351852</v>
      </c>
      <c r="F374" s="20" t="str">
        <f>Data!G374</f>
        <v>GpsRecord</v>
      </c>
      <c r="G374" s="20">
        <f>Data!H374</f>
        <v>44</v>
      </c>
      <c r="H374" s="20">
        <f>Data!I374</f>
        <v>139.40468999999999</v>
      </c>
      <c r="I374" s="20">
        <f>Data!J374</f>
        <v>35.581049999999998</v>
      </c>
      <c r="J374" s="21" t="str">
        <f>IF(Data!K374=0,"",Data!K374)</f>
        <v>日本, 東京都町田市 町田街道</v>
      </c>
      <c r="K374" s="22">
        <f>Data!L374</f>
        <v>0</v>
      </c>
      <c r="L374" s="21" t="str">
        <f>IF(Data!N374=0,"",Data!N374)</f>
        <v>CurveBased</v>
      </c>
      <c r="M374" s="20" t="b">
        <f>Data!O374</f>
        <v>1</v>
      </c>
      <c r="N374" s="20" t="b">
        <f>Data!P374</f>
        <v>0</v>
      </c>
      <c r="O374" s="20" t="b">
        <f>Data!Q374</f>
        <v>0</v>
      </c>
      <c r="P374" s="20" t="b">
        <f>Data!R374</f>
        <v>0</v>
      </c>
      <c r="Q374" s="20" t="b">
        <f>Data!S374</f>
        <v>0</v>
      </c>
      <c r="R374" s="20" t="b">
        <f>Data!T374</f>
        <v>0</v>
      </c>
      <c r="S374" s="20" t="b">
        <f>Data!U374</f>
        <v>0</v>
      </c>
      <c r="T374" s="20" t="b">
        <f>Data!V374</f>
        <v>0</v>
      </c>
      <c r="U374" s="20" t="b">
        <f>Data!W374</f>
        <v>0</v>
      </c>
      <c r="V374" s="20" t="b">
        <f>Data!X374</f>
        <v>1</v>
      </c>
      <c r="W374" s="20" t="b">
        <f>Data!Y374</f>
        <v>1</v>
      </c>
      <c r="X374" s="20">
        <f>Data!Z374</f>
        <v>0</v>
      </c>
      <c r="Y374" s="22">
        <f>Data!AL374</f>
        <v>0</v>
      </c>
      <c r="Z374" s="20">
        <f>Data!AC374</f>
        <v>0</v>
      </c>
      <c r="AA374" s="20">
        <f>Data!AE374</f>
        <v>0</v>
      </c>
      <c r="AB374" s="20">
        <f>Data!AG374</f>
        <v>0</v>
      </c>
      <c r="AC374" s="20" t="str">
        <f>CONCATENATE(Data!AI374," ",Data!AJ374)</f>
        <v xml:space="preserve"> </v>
      </c>
    </row>
    <row r="375" spans="1:29" ht="15">
      <c r="A375" s="20" t="str">
        <f>Data!A375</f>
        <v>デモ機</v>
      </c>
      <c r="B375" s="20" t="str">
        <f>Data!C375</f>
        <v>Entire Organization</v>
      </c>
      <c r="C375" s="20" t="str">
        <f>IF(Data!E375=0,"",Data!E375)</f>
        <v/>
      </c>
      <c r="D375" s="26">
        <f t="shared" si="5"/>
        <v>42065.90480798611</v>
      </c>
      <c r="E375" s="27">
        <f>Data!F375</f>
        <v>42065.90480798611</v>
      </c>
      <c r="F375" s="20" t="str">
        <f>Data!G375</f>
        <v>DebugRecord</v>
      </c>
      <c r="G375" s="20">
        <f>Data!H375</f>
        <v>0</v>
      </c>
      <c r="H375" s="20">
        <f>Data!I375</f>
        <v>0</v>
      </c>
      <c r="I375" s="20">
        <f>Data!J375</f>
        <v>0</v>
      </c>
      <c r="J375" s="21" t="str">
        <f>IF(Data!K375=0,"",Data!K375)</f>
        <v/>
      </c>
      <c r="K375" s="22">
        <f>Data!L375</f>
        <v>0</v>
      </c>
      <c r="L375" s="21" t="str">
        <f>IF(Data!N375=0,"",Data!N375)</f>
        <v>ModemNetworkApn</v>
      </c>
      <c r="M375" s="20">
        <f>Data!O375</f>
        <v>0</v>
      </c>
      <c r="N375" s="20">
        <f>Data!P375</f>
        <v>0</v>
      </c>
      <c r="O375" s="20">
        <f>Data!Q375</f>
        <v>0</v>
      </c>
      <c r="P375" s="20">
        <f>Data!R375</f>
        <v>0</v>
      </c>
      <c r="Q375" s="20">
        <f>Data!S375</f>
        <v>0</v>
      </c>
      <c r="R375" s="20">
        <f>Data!T375</f>
        <v>0</v>
      </c>
      <c r="S375" s="20">
        <f>Data!U375</f>
        <v>0</v>
      </c>
      <c r="T375" s="20">
        <f>Data!V375</f>
        <v>0</v>
      </c>
      <c r="U375" s="20">
        <f>Data!W375</f>
        <v>0</v>
      </c>
      <c r="V375" s="20">
        <f>Data!X375</f>
        <v>0</v>
      </c>
      <c r="W375" s="20">
        <f>Data!Y375</f>
        <v>0</v>
      </c>
      <c r="X375" s="20">
        <f>Data!Z375</f>
        <v>0</v>
      </c>
      <c r="Y375" s="22" t="str">
        <f>Data!AL375</f>
        <v>696E7465726E650000000000000000</v>
      </c>
      <c r="Z375" s="20">
        <f>Data!AC375</f>
        <v>0</v>
      </c>
      <c r="AA375" s="20">
        <f>Data!AE375</f>
        <v>0</v>
      </c>
      <c r="AB375" s="20">
        <f>Data!AG375</f>
        <v>0</v>
      </c>
      <c r="AC375" s="20" t="str">
        <f>CONCATENATE(Data!AI375," ",Data!AJ375)</f>
        <v xml:space="preserve"> </v>
      </c>
    </row>
    <row r="376" spans="1:29" ht="15">
      <c r="A376" s="20" t="str">
        <f>Data!A376</f>
        <v>デモ機</v>
      </c>
      <c r="B376" s="20" t="str">
        <f>Data!C376</f>
        <v>Entire Organization</v>
      </c>
      <c r="C376" s="20" t="str">
        <f>IF(Data!E376=0,"",Data!E376)</f>
        <v/>
      </c>
      <c r="D376" s="26">
        <f t="shared" si="5"/>
        <v>42065.904827858794</v>
      </c>
      <c r="E376" s="27">
        <f>Data!F376</f>
        <v>42065.904827858794</v>
      </c>
      <c r="F376" s="20" t="str">
        <f>Data!G376</f>
        <v>GpsRecord</v>
      </c>
      <c r="G376" s="20">
        <f>Data!H376</f>
        <v>37</v>
      </c>
      <c r="H376" s="20">
        <f>Data!I376</f>
        <v>139.40620000000001</v>
      </c>
      <c r="I376" s="20">
        <f>Data!J376</f>
        <v>35.580489999999998</v>
      </c>
      <c r="J376" s="21" t="str">
        <f>IF(Data!K376=0,"",Data!K376)</f>
        <v>日本, 東京都町田市 町田街道</v>
      </c>
      <c r="K376" s="22">
        <f>Data!L376</f>
        <v>0</v>
      </c>
      <c r="L376" s="21" t="str">
        <f>IF(Data!N376=0,"",Data!N376)</f>
        <v>ConnectedToServer</v>
      </c>
      <c r="M376" s="20" t="b">
        <f>Data!O376</f>
        <v>1</v>
      </c>
      <c r="N376" s="20" t="b">
        <f>Data!P376</f>
        <v>0</v>
      </c>
      <c r="O376" s="20" t="b">
        <f>Data!Q376</f>
        <v>0</v>
      </c>
      <c r="P376" s="20" t="b">
        <f>Data!R376</f>
        <v>0</v>
      </c>
      <c r="Q376" s="20" t="b">
        <f>Data!S376</f>
        <v>0</v>
      </c>
      <c r="R376" s="20" t="b">
        <f>Data!T376</f>
        <v>0</v>
      </c>
      <c r="S376" s="20" t="b">
        <f>Data!U376</f>
        <v>0</v>
      </c>
      <c r="T376" s="20" t="b">
        <f>Data!V376</f>
        <v>0</v>
      </c>
      <c r="U376" s="20" t="b">
        <f>Data!W376</f>
        <v>0</v>
      </c>
      <c r="V376" s="20" t="b">
        <f>Data!X376</f>
        <v>1</v>
      </c>
      <c r="W376" s="20" t="b">
        <f>Data!Y376</f>
        <v>1</v>
      </c>
      <c r="X376" s="20">
        <f>Data!Z376</f>
        <v>0</v>
      </c>
      <c r="Y376" s="22">
        <f>Data!AL376</f>
        <v>0</v>
      </c>
      <c r="Z376" s="20">
        <f>Data!AC376</f>
        <v>0</v>
      </c>
      <c r="AA376" s="20">
        <f>Data!AE376</f>
        <v>0</v>
      </c>
      <c r="AB376" s="20">
        <f>Data!AG376</f>
        <v>0</v>
      </c>
      <c r="AC376" s="20" t="str">
        <f>CONCATENATE(Data!AI376," ",Data!AJ376)</f>
        <v xml:space="preserve"> </v>
      </c>
    </row>
    <row r="377" spans="1:29" ht="15">
      <c r="A377" s="20" t="str">
        <f>Data!A377</f>
        <v>デモ機</v>
      </c>
      <c r="B377" s="20" t="str">
        <f>Data!C377</f>
        <v>Entire Organization</v>
      </c>
      <c r="C377" s="20" t="str">
        <f>IF(Data!E377=0,"",Data!E377)</f>
        <v/>
      </c>
      <c r="D377" s="26">
        <f t="shared" si="5"/>
        <v>42065.904828437502</v>
      </c>
      <c r="E377" s="27">
        <f>Data!F377</f>
        <v>42065.904828437502</v>
      </c>
      <c r="F377" s="20" t="str">
        <f>Data!G377</f>
        <v>DebugRecord</v>
      </c>
      <c r="G377" s="20">
        <f>Data!H377</f>
        <v>0</v>
      </c>
      <c r="H377" s="20">
        <f>Data!I377</f>
        <v>0</v>
      </c>
      <c r="I377" s="20">
        <f>Data!J377</f>
        <v>0</v>
      </c>
      <c r="J377" s="21" t="str">
        <f>IF(Data!K377=0,"",Data!K377)</f>
        <v/>
      </c>
      <c r="K377" s="22">
        <f>Data!L377</f>
        <v>0</v>
      </c>
      <c r="L377" s="21" t="str">
        <f>IF(Data!N377=0,"",Data!N377)</f>
        <v>ModemConnectionSuccess</v>
      </c>
      <c r="M377" s="20">
        <f>Data!O377</f>
        <v>0</v>
      </c>
      <c r="N377" s="20">
        <f>Data!P377</f>
        <v>0</v>
      </c>
      <c r="O377" s="20">
        <f>Data!Q377</f>
        <v>0</v>
      </c>
      <c r="P377" s="20">
        <f>Data!R377</f>
        <v>0</v>
      </c>
      <c r="Q377" s="20">
        <f>Data!S377</f>
        <v>0</v>
      </c>
      <c r="R377" s="20">
        <f>Data!T377</f>
        <v>0</v>
      </c>
      <c r="S377" s="20">
        <f>Data!U377</f>
        <v>0</v>
      </c>
      <c r="T377" s="20">
        <f>Data!V377</f>
        <v>0</v>
      </c>
      <c r="U377" s="20">
        <f>Data!W377</f>
        <v>0</v>
      </c>
      <c r="V377" s="20">
        <f>Data!X377</f>
        <v>0</v>
      </c>
      <c r="W377" s="20">
        <f>Data!Y377</f>
        <v>0</v>
      </c>
      <c r="X377" s="20">
        <f>Data!Z377</f>
        <v>0</v>
      </c>
      <c r="Y377" s="22" t="str">
        <f>Data!AL377</f>
        <v>4E545420444F800000000000000000</v>
      </c>
      <c r="Z377" s="20">
        <f>Data!AC377</f>
        <v>0</v>
      </c>
      <c r="AA377" s="20">
        <f>Data!AE377</f>
        <v>0</v>
      </c>
      <c r="AB377" s="20">
        <f>Data!AG377</f>
        <v>0</v>
      </c>
      <c r="AC377" s="20" t="str">
        <f>CONCATENATE(Data!AI377," ",Data!AJ377)</f>
        <v xml:space="preserve"> </v>
      </c>
    </row>
    <row r="378" spans="1:29" ht="15">
      <c r="A378" s="20" t="str">
        <f>Data!A378</f>
        <v>デモ機</v>
      </c>
      <c r="B378" s="20" t="str">
        <f>Data!C378</f>
        <v>Entire Organization</v>
      </c>
      <c r="C378" s="20" t="str">
        <f>IF(Data!E378=0,"",Data!E378)</f>
        <v/>
      </c>
      <c r="D378" s="26">
        <f t="shared" si="5"/>
        <v>42065.904918981483</v>
      </c>
      <c r="E378" s="27">
        <f>Data!F378</f>
        <v>42065.904918981483</v>
      </c>
      <c r="F378" s="20" t="str">
        <f>Data!G378</f>
        <v>GpsRecord</v>
      </c>
      <c r="G378" s="20">
        <f>Data!H378</f>
        <v>42</v>
      </c>
      <c r="H378" s="20">
        <f>Data!I378</f>
        <v>139.40710000000001</v>
      </c>
      <c r="I378" s="20">
        <f>Data!J378</f>
        <v>35.580080000000002</v>
      </c>
      <c r="J378" s="21" t="str">
        <f>IF(Data!K378=0,"",Data!K378)</f>
        <v>日本, 東京都町田市 町田街道</v>
      </c>
      <c r="K378" s="22">
        <f>Data!L378</f>
        <v>0</v>
      </c>
      <c r="L378" s="21" t="str">
        <f>IF(Data!N378=0,"",Data!N378)</f>
        <v>CurveSpeed</v>
      </c>
      <c r="M378" s="20" t="b">
        <f>Data!O378</f>
        <v>1</v>
      </c>
      <c r="N378" s="20" t="b">
        <f>Data!P378</f>
        <v>0</v>
      </c>
      <c r="O378" s="20" t="b">
        <f>Data!Q378</f>
        <v>0</v>
      </c>
      <c r="P378" s="20" t="b">
        <f>Data!R378</f>
        <v>0</v>
      </c>
      <c r="Q378" s="20" t="b">
        <f>Data!S378</f>
        <v>0</v>
      </c>
      <c r="R378" s="20" t="b">
        <f>Data!T378</f>
        <v>0</v>
      </c>
      <c r="S378" s="20" t="b">
        <f>Data!U378</f>
        <v>0</v>
      </c>
      <c r="T378" s="20" t="b">
        <f>Data!V378</f>
        <v>0</v>
      </c>
      <c r="U378" s="20" t="b">
        <f>Data!W378</f>
        <v>0</v>
      </c>
      <c r="V378" s="20" t="b">
        <f>Data!X378</f>
        <v>1</v>
      </c>
      <c r="W378" s="20" t="b">
        <f>Data!Y378</f>
        <v>1</v>
      </c>
      <c r="X378" s="20">
        <f>Data!Z378</f>
        <v>0</v>
      </c>
      <c r="Y378" s="22">
        <f>Data!AL378</f>
        <v>0</v>
      </c>
      <c r="Z378" s="20">
        <f>Data!AC378</f>
        <v>0</v>
      </c>
      <c r="AA378" s="20">
        <f>Data!AE378</f>
        <v>0</v>
      </c>
      <c r="AB378" s="20">
        <f>Data!AG378</f>
        <v>0</v>
      </c>
      <c r="AC378" s="20" t="str">
        <f>CONCATENATE(Data!AI378," ",Data!AJ378)</f>
        <v xml:space="preserve"> </v>
      </c>
    </row>
    <row r="379" spans="1:29" ht="15">
      <c r="A379" s="20" t="str">
        <f>Data!A379</f>
        <v>デモ機</v>
      </c>
      <c r="B379" s="20" t="str">
        <f>Data!C379</f>
        <v>Entire Organization</v>
      </c>
      <c r="C379" s="20" t="str">
        <f>IF(Data!E379=0,"",Data!E379)</f>
        <v/>
      </c>
      <c r="D379" s="26">
        <f t="shared" si="5"/>
        <v>42065.905011574076</v>
      </c>
      <c r="E379" s="27">
        <f>Data!F379</f>
        <v>42065.905011574076</v>
      </c>
      <c r="F379" s="20" t="str">
        <f>Data!G379</f>
        <v>GpsRecord</v>
      </c>
      <c r="G379" s="20">
        <f>Data!H379</f>
        <v>20</v>
      </c>
      <c r="H379" s="20">
        <f>Data!I379</f>
        <v>139.40778</v>
      </c>
      <c r="I379" s="20">
        <f>Data!J379</f>
        <v>35.579700000000003</v>
      </c>
      <c r="J379" s="21" t="str">
        <f>IF(Data!K379=0,"",Data!K379)</f>
        <v>日本, 東京都町田市 町田街道</v>
      </c>
      <c r="K379" s="22">
        <f>Data!L379</f>
        <v>0</v>
      </c>
      <c r="L379" s="21" t="str">
        <f>IF(Data!N379=0,"",Data!N379)</f>
        <v>CurveBased</v>
      </c>
      <c r="M379" s="20" t="b">
        <f>Data!O379</f>
        <v>1</v>
      </c>
      <c r="N379" s="20" t="b">
        <f>Data!P379</f>
        <v>0</v>
      </c>
      <c r="O379" s="20" t="b">
        <f>Data!Q379</f>
        <v>0</v>
      </c>
      <c r="P379" s="20" t="b">
        <f>Data!R379</f>
        <v>0</v>
      </c>
      <c r="Q379" s="20" t="b">
        <f>Data!S379</f>
        <v>0</v>
      </c>
      <c r="R379" s="20" t="b">
        <f>Data!T379</f>
        <v>0</v>
      </c>
      <c r="S379" s="20" t="b">
        <f>Data!U379</f>
        <v>0</v>
      </c>
      <c r="T379" s="20" t="b">
        <f>Data!V379</f>
        <v>0</v>
      </c>
      <c r="U379" s="20" t="b">
        <f>Data!W379</f>
        <v>0</v>
      </c>
      <c r="V379" s="20" t="b">
        <f>Data!X379</f>
        <v>1</v>
      </c>
      <c r="W379" s="20" t="b">
        <f>Data!Y379</f>
        <v>1</v>
      </c>
      <c r="X379" s="20">
        <f>Data!Z379</f>
        <v>0</v>
      </c>
      <c r="Y379" s="22">
        <f>Data!AL379</f>
        <v>0</v>
      </c>
      <c r="Z379" s="20">
        <f>Data!AC379</f>
        <v>0</v>
      </c>
      <c r="AA379" s="20">
        <f>Data!AE379</f>
        <v>0</v>
      </c>
      <c r="AB379" s="20">
        <f>Data!AG379</f>
        <v>0</v>
      </c>
      <c r="AC379" s="20" t="str">
        <f>CONCATENATE(Data!AI379," ",Data!AJ379)</f>
        <v xml:space="preserve"> </v>
      </c>
    </row>
    <row r="380" spans="1:29" ht="15">
      <c r="A380" s="20" t="str">
        <f>Data!A380</f>
        <v>デモ機</v>
      </c>
      <c r="B380" s="20" t="str">
        <f>Data!C380</f>
        <v>Entire Organization</v>
      </c>
      <c r="C380" s="20" t="str">
        <f>IF(Data!E380=0,"",Data!E380)</f>
        <v/>
      </c>
      <c r="D380" s="26">
        <f t="shared" si="5"/>
        <v>42065.905032060182</v>
      </c>
      <c r="E380" s="27">
        <f>Data!F380</f>
        <v>42065.905032060182</v>
      </c>
      <c r="F380" s="20" t="str">
        <f>Data!G380</f>
        <v>EngineStatusRecord</v>
      </c>
      <c r="G380" s="20">
        <f>Data!H380</f>
        <v>0</v>
      </c>
      <c r="H380" s="20">
        <f>Data!I380</f>
        <v>0</v>
      </c>
      <c r="I380" s="20">
        <f>Data!J380</f>
        <v>0</v>
      </c>
      <c r="J380" s="21" t="str">
        <f>IF(Data!K380=0,"",Data!K380)</f>
        <v/>
      </c>
      <c r="K380" s="22">
        <f>Data!L380</f>
        <v>0</v>
      </c>
      <c r="L380" s="21" t="str">
        <f>IF(Data!N380=0,"",Data!N380)</f>
        <v/>
      </c>
      <c r="M380" s="20">
        <f>Data!O380</f>
        <v>0</v>
      </c>
      <c r="N380" s="20">
        <f>Data!P380</f>
        <v>0</v>
      </c>
      <c r="O380" s="20">
        <f>Data!Q380</f>
        <v>0</v>
      </c>
      <c r="P380" s="20">
        <f>Data!R380</f>
        <v>0</v>
      </c>
      <c r="Q380" s="20">
        <f>Data!S380</f>
        <v>0</v>
      </c>
      <c r="R380" s="20">
        <f>Data!T380</f>
        <v>0</v>
      </c>
      <c r="S380" s="20">
        <f>Data!U380</f>
        <v>0</v>
      </c>
      <c r="T380" s="20">
        <f>Data!V380</f>
        <v>0</v>
      </c>
      <c r="U380" s="20">
        <f>Data!W380</f>
        <v>0</v>
      </c>
      <c r="V380" s="20">
        <f>Data!X380</f>
        <v>0</v>
      </c>
      <c r="W380" s="20">
        <f>Data!Y380</f>
        <v>0</v>
      </c>
      <c r="X380" s="20">
        <f>Data!Z380</f>
        <v>0</v>
      </c>
      <c r="Y380" s="22">
        <f>Data!AL380</f>
        <v>0</v>
      </c>
      <c r="Z380" s="20" t="str">
        <f>Data!AC380</f>
        <v>Acceleration side to side</v>
      </c>
      <c r="AA380" s="20" t="str">
        <f>Data!AE380</f>
        <v/>
      </c>
      <c r="AB380" s="20">
        <f>Data!AG380</f>
        <v>0</v>
      </c>
      <c r="AC380" s="20" t="str">
        <f>CONCATENATE(Data!AI380," ",Data!AJ380)</f>
        <v>-3.00083494186401 m/s^2</v>
      </c>
    </row>
    <row r="381" spans="1:29" ht="15">
      <c r="A381" s="20" t="str">
        <f>Data!A381</f>
        <v>デモ機</v>
      </c>
      <c r="B381" s="20" t="str">
        <f>Data!C381</f>
        <v>Entire Organization</v>
      </c>
      <c r="C381" s="20" t="str">
        <f>IF(Data!E381=0,"",Data!E381)</f>
        <v/>
      </c>
      <c r="D381" s="26">
        <f t="shared" si="5"/>
        <v>42065.905032060182</v>
      </c>
      <c r="E381" s="27">
        <f>Data!F381</f>
        <v>42065.905032060182</v>
      </c>
      <c r="F381" s="20" t="str">
        <f>Data!G381</f>
        <v>EngineStatusRecord</v>
      </c>
      <c r="G381" s="20">
        <f>Data!H381</f>
        <v>0</v>
      </c>
      <c r="H381" s="20">
        <f>Data!I381</f>
        <v>0</v>
      </c>
      <c r="I381" s="20">
        <f>Data!J381</f>
        <v>0</v>
      </c>
      <c r="J381" s="21" t="str">
        <f>IF(Data!K381=0,"",Data!K381)</f>
        <v/>
      </c>
      <c r="K381" s="22">
        <f>Data!L381</f>
        <v>0</v>
      </c>
      <c r="L381" s="21" t="str">
        <f>IF(Data!N381=0,"",Data!N381)</f>
        <v/>
      </c>
      <c r="M381" s="20">
        <f>Data!O381</f>
        <v>0</v>
      </c>
      <c r="N381" s="20">
        <f>Data!P381</f>
        <v>0</v>
      </c>
      <c r="O381" s="20">
        <f>Data!Q381</f>
        <v>0</v>
      </c>
      <c r="P381" s="20">
        <f>Data!R381</f>
        <v>0</v>
      </c>
      <c r="Q381" s="20">
        <f>Data!S381</f>
        <v>0</v>
      </c>
      <c r="R381" s="20">
        <f>Data!T381</f>
        <v>0</v>
      </c>
      <c r="S381" s="20">
        <f>Data!U381</f>
        <v>0</v>
      </c>
      <c r="T381" s="20">
        <f>Data!V381</f>
        <v>0</v>
      </c>
      <c r="U381" s="20">
        <f>Data!W381</f>
        <v>0</v>
      </c>
      <c r="V381" s="20">
        <f>Data!X381</f>
        <v>0</v>
      </c>
      <c r="W381" s="20">
        <f>Data!Y381</f>
        <v>0</v>
      </c>
      <c r="X381" s="20">
        <f>Data!Z381</f>
        <v>0</v>
      </c>
      <c r="Y381" s="22">
        <f>Data!AL381</f>
        <v>0</v>
      </c>
      <c r="Z381" s="20" t="str">
        <f>Data!AC381</f>
        <v>Acceleration up down</v>
      </c>
      <c r="AA381" s="20" t="str">
        <f>Data!AE381</f>
        <v/>
      </c>
      <c r="AB381" s="20">
        <f>Data!AG381</f>
        <v>0</v>
      </c>
      <c r="AC381" s="20" t="str">
        <f>CONCATENATE(Data!AI381," ",Data!AJ381)</f>
        <v>9.35554409027099 m/s^2</v>
      </c>
    </row>
    <row r="382" spans="1:29" ht="15">
      <c r="A382" s="20" t="str">
        <f>Data!A382</f>
        <v>デモ機</v>
      </c>
      <c r="B382" s="20" t="str">
        <f>Data!C382</f>
        <v>Entire Organization</v>
      </c>
      <c r="C382" s="20" t="str">
        <f>IF(Data!E382=0,"",Data!E382)</f>
        <v/>
      </c>
      <c r="D382" s="26">
        <f t="shared" si="5"/>
        <v>42065.905032060182</v>
      </c>
      <c r="E382" s="27">
        <f>Data!F382</f>
        <v>42065.905032060182</v>
      </c>
      <c r="F382" s="20" t="str">
        <f>Data!G382</f>
        <v>EngineStatusRecord</v>
      </c>
      <c r="G382" s="20">
        <f>Data!H382</f>
        <v>0</v>
      </c>
      <c r="H382" s="20">
        <f>Data!I382</f>
        <v>0</v>
      </c>
      <c r="I382" s="20">
        <f>Data!J382</f>
        <v>0</v>
      </c>
      <c r="J382" s="21" t="str">
        <f>IF(Data!K382=0,"",Data!K382)</f>
        <v/>
      </c>
      <c r="K382" s="22">
        <f>Data!L382</f>
        <v>0</v>
      </c>
      <c r="L382" s="21" t="str">
        <f>IF(Data!N382=0,"",Data!N382)</f>
        <v/>
      </c>
      <c r="M382" s="20">
        <f>Data!O382</f>
        <v>0</v>
      </c>
      <c r="N382" s="20">
        <f>Data!P382</f>
        <v>0</v>
      </c>
      <c r="O382" s="20">
        <f>Data!Q382</f>
        <v>0</v>
      </c>
      <c r="P382" s="20">
        <f>Data!R382</f>
        <v>0</v>
      </c>
      <c r="Q382" s="20">
        <f>Data!S382</f>
        <v>0</v>
      </c>
      <c r="R382" s="20">
        <f>Data!T382</f>
        <v>0</v>
      </c>
      <c r="S382" s="20">
        <f>Data!U382</f>
        <v>0</v>
      </c>
      <c r="T382" s="20">
        <f>Data!V382</f>
        <v>0</v>
      </c>
      <c r="U382" s="20">
        <f>Data!W382</f>
        <v>0</v>
      </c>
      <c r="V382" s="20">
        <f>Data!X382</f>
        <v>0</v>
      </c>
      <c r="W382" s="20">
        <f>Data!Y382</f>
        <v>0</v>
      </c>
      <c r="X382" s="20">
        <f>Data!Z382</f>
        <v>0</v>
      </c>
      <c r="Y382" s="22">
        <f>Data!AL382</f>
        <v>0</v>
      </c>
      <c r="Z382" s="20" t="str">
        <f>Data!AC382</f>
        <v>Acceleration forward or braking</v>
      </c>
      <c r="AA382" s="20" t="str">
        <f>Data!AE382</f>
        <v/>
      </c>
      <c r="AB382" s="20">
        <f>Data!AG382</f>
        <v>0</v>
      </c>
      <c r="AC382" s="20" t="str">
        <f>CONCATENATE(Data!AI382," ",Data!AJ382)</f>
        <v>0.706078827381134 m/s^2</v>
      </c>
    </row>
    <row r="383" spans="1:29" ht="15">
      <c r="A383" s="20" t="str">
        <f>Data!A383</f>
        <v>デモ機</v>
      </c>
      <c r="B383" s="20" t="str">
        <f>Data!C383</f>
        <v>Entire Organization</v>
      </c>
      <c r="C383" s="20" t="str">
        <f>IF(Data!E383=0,"",Data!E383)</f>
        <v/>
      </c>
      <c r="D383" s="26">
        <f t="shared" si="5"/>
        <v>42065.905057870368</v>
      </c>
      <c r="E383" s="27">
        <f>Data!F383</f>
        <v>42065.905057870368</v>
      </c>
      <c r="F383" s="20" t="str">
        <f>Data!G383</f>
        <v>GpsRecord</v>
      </c>
      <c r="G383" s="20">
        <f>Data!H383</f>
        <v>24</v>
      </c>
      <c r="H383" s="20">
        <f>Data!I383</f>
        <v>139.40778</v>
      </c>
      <c r="I383" s="20">
        <f>Data!J383</f>
        <v>35.57949</v>
      </c>
      <c r="J383" s="21" t="str">
        <f>IF(Data!K383=0,"",Data!K383)</f>
        <v>日本, 〒194-0034 東京都町田市根岸町１０１０−６</v>
      </c>
      <c r="K383" s="22">
        <f>Data!L383</f>
        <v>0</v>
      </c>
      <c r="L383" s="21" t="str">
        <f>IF(Data!N383=0,"",Data!N383)</f>
        <v>CurveBased</v>
      </c>
      <c r="M383" s="20" t="b">
        <f>Data!O383</f>
        <v>1</v>
      </c>
      <c r="N383" s="20" t="b">
        <f>Data!P383</f>
        <v>0</v>
      </c>
      <c r="O383" s="20" t="b">
        <f>Data!Q383</f>
        <v>0</v>
      </c>
      <c r="P383" s="20" t="b">
        <f>Data!R383</f>
        <v>0</v>
      </c>
      <c r="Q383" s="20" t="b">
        <f>Data!S383</f>
        <v>0</v>
      </c>
      <c r="R383" s="20" t="b">
        <f>Data!T383</f>
        <v>0</v>
      </c>
      <c r="S383" s="20" t="b">
        <f>Data!U383</f>
        <v>0</v>
      </c>
      <c r="T383" s="20" t="b">
        <f>Data!V383</f>
        <v>0</v>
      </c>
      <c r="U383" s="20" t="b">
        <f>Data!W383</f>
        <v>0</v>
      </c>
      <c r="V383" s="20" t="b">
        <f>Data!X383</f>
        <v>1</v>
      </c>
      <c r="W383" s="20" t="b">
        <f>Data!Y383</f>
        <v>1</v>
      </c>
      <c r="X383" s="20">
        <f>Data!Z383</f>
        <v>0</v>
      </c>
      <c r="Y383" s="22">
        <f>Data!AL383</f>
        <v>0</v>
      </c>
      <c r="Z383" s="20">
        <f>Data!AC383</f>
        <v>0</v>
      </c>
      <c r="AA383" s="20">
        <f>Data!AE383</f>
        <v>0</v>
      </c>
      <c r="AB383" s="20">
        <f>Data!AG383</f>
        <v>0</v>
      </c>
      <c r="AC383" s="20" t="str">
        <f>CONCATENATE(Data!AI383," ",Data!AJ383)</f>
        <v xml:space="preserve"> </v>
      </c>
    </row>
    <row r="384" spans="1:29" ht="15">
      <c r="A384" s="20" t="str">
        <f>Data!A384</f>
        <v>デモ機</v>
      </c>
      <c r="B384" s="20" t="str">
        <f>Data!C384</f>
        <v>Entire Organization</v>
      </c>
      <c r="C384" s="20" t="str">
        <f>IF(Data!E384=0,"",Data!E384)</f>
        <v/>
      </c>
      <c r="D384" s="26">
        <f t="shared" si="5"/>
        <v>42065.905067395834</v>
      </c>
      <c r="E384" s="27">
        <f>Data!F384</f>
        <v>42065.905067395834</v>
      </c>
      <c r="F384" s="20" t="str">
        <f>Data!G384</f>
        <v>EngineStatusRecord</v>
      </c>
      <c r="G384" s="20">
        <f>Data!H384</f>
        <v>0</v>
      </c>
      <c r="H384" s="20">
        <f>Data!I384</f>
        <v>0</v>
      </c>
      <c r="I384" s="20">
        <f>Data!J384</f>
        <v>0</v>
      </c>
      <c r="J384" s="21" t="str">
        <f>IF(Data!K384=0,"",Data!K384)</f>
        <v/>
      </c>
      <c r="K384" s="22">
        <f>Data!L384</f>
        <v>0</v>
      </c>
      <c r="L384" s="21" t="str">
        <f>IF(Data!N384=0,"",Data!N384)</f>
        <v/>
      </c>
      <c r="M384" s="20">
        <f>Data!O384</f>
        <v>0</v>
      </c>
      <c r="N384" s="20">
        <f>Data!P384</f>
        <v>0</v>
      </c>
      <c r="O384" s="20">
        <f>Data!Q384</f>
        <v>0</v>
      </c>
      <c r="P384" s="20">
        <f>Data!R384</f>
        <v>0</v>
      </c>
      <c r="Q384" s="20">
        <f>Data!S384</f>
        <v>0</v>
      </c>
      <c r="R384" s="20">
        <f>Data!T384</f>
        <v>0</v>
      </c>
      <c r="S384" s="20">
        <f>Data!U384</f>
        <v>0</v>
      </c>
      <c r="T384" s="20">
        <f>Data!V384</f>
        <v>0</v>
      </c>
      <c r="U384" s="20">
        <f>Data!W384</f>
        <v>0</v>
      </c>
      <c r="V384" s="20">
        <f>Data!X384</f>
        <v>0</v>
      </c>
      <c r="W384" s="20">
        <f>Data!Y384</f>
        <v>0</v>
      </c>
      <c r="X384" s="20">
        <f>Data!Z384</f>
        <v>0</v>
      </c>
      <c r="Y384" s="22">
        <f>Data!AL384</f>
        <v>0</v>
      </c>
      <c r="Z384" s="20" t="str">
        <f>Data!AC384</f>
        <v>Acceleration up down</v>
      </c>
      <c r="AA384" s="20" t="str">
        <f>Data!AE384</f>
        <v/>
      </c>
      <c r="AB384" s="20">
        <f>Data!AG384</f>
        <v>0</v>
      </c>
      <c r="AC384" s="20" t="str">
        <f>CONCATENATE(Data!AI384," ",Data!AJ384)</f>
        <v>9.53206253051757 m/s^2</v>
      </c>
    </row>
    <row r="385" spans="1:29" ht="15">
      <c r="A385" s="20" t="str">
        <f>Data!A385</f>
        <v>デモ機</v>
      </c>
      <c r="B385" s="20" t="str">
        <f>Data!C385</f>
        <v>Entire Organization</v>
      </c>
      <c r="C385" s="20" t="str">
        <f>IF(Data!E385=0,"",Data!E385)</f>
        <v/>
      </c>
      <c r="D385" s="26">
        <f t="shared" si="5"/>
        <v>42065.905067395834</v>
      </c>
      <c r="E385" s="27">
        <f>Data!F385</f>
        <v>42065.905067395834</v>
      </c>
      <c r="F385" s="20" t="str">
        <f>Data!G385</f>
        <v>EngineStatusRecord</v>
      </c>
      <c r="G385" s="20">
        <f>Data!H385</f>
        <v>0</v>
      </c>
      <c r="H385" s="20">
        <f>Data!I385</f>
        <v>0</v>
      </c>
      <c r="I385" s="20">
        <f>Data!J385</f>
        <v>0</v>
      </c>
      <c r="J385" s="21" t="str">
        <f>IF(Data!K385=0,"",Data!K385)</f>
        <v/>
      </c>
      <c r="K385" s="22">
        <f>Data!L385</f>
        <v>0</v>
      </c>
      <c r="L385" s="21" t="str">
        <f>IF(Data!N385=0,"",Data!N385)</f>
        <v/>
      </c>
      <c r="M385" s="20">
        <f>Data!O385</f>
        <v>0</v>
      </c>
      <c r="N385" s="20">
        <f>Data!P385</f>
        <v>0</v>
      </c>
      <c r="O385" s="20">
        <f>Data!Q385</f>
        <v>0</v>
      </c>
      <c r="P385" s="20">
        <f>Data!R385</f>
        <v>0</v>
      </c>
      <c r="Q385" s="20">
        <f>Data!S385</f>
        <v>0</v>
      </c>
      <c r="R385" s="20">
        <f>Data!T385</f>
        <v>0</v>
      </c>
      <c r="S385" s="20">
        <f>Data!U385</f>
        <v>0</v>
      </c>
      <c r="T385" s="20">
        <f>Data!V385</f>
        <v>0</v>
      </c>
      <c r="U385" s="20">
        <f>Data!W385</f>
        <v>0</v>
      </c>
      <c r="V385" s="20">
        <f>Data!X385</f>
        <v>0</v>
      </c>
      <c r="W385" s="20">
        <f>Data!Y385</f>
        <v>0</v>
      </c>
      <c r="X385" s="20">
        <f>Data!Z385</f>
        <v>0</v>
      </c>
      <c r="Y385" s="22">
        <f>Data!AL385</f>
        <v>0</v>
      </c>
      <c r="Z385" s="20" t="str">
        <f>Data!AC385</f>
        <v>Acceleration forward or braking</v>
      </c>
      <c r="AA385" s="20" t="str">
        <f>Data!AE385</f>
        <v/>
      </c>
      <c r="AB385" s="20">
        <f>Data!AG385</f>
        <v>0</v>
      </c>
      <c r="AC385" s="20" t="str">
        <f>CONCATENATE(Data!AI385," ",Data!AJ385)</f>
        <v>0.529559075832366 m/s^2</v>
      </c>
    </row>
    <row r="386" spans="1:29" ht="15">
      <c r="A386" s="20" t="str">
        <f>Data!A386</f>
        <v>デモ機</v>
      </c>
      <c r="B386" s="20" t="str">
        <f>Data!C386</f>
        <v>Entire Organization</v>
      </c>
      <c r="C386" s="20" t="str">
        <f>IF(Data!E386=0,"",Data!E386)</f>
        <v/>
      </c>
      <c r="D386" s="26">
        <f t="shared" si="5"/>
        <v>42065.905067395834</v>
      </c>
      <c r="E386" s="27">
        <f>Data!F386</f>
        <v>42065.905067395834</v>
      </c>
      <c r="F386" s="20" t="str">
        <f>Data!G386</f>
        <v>EngineStatusRecord</v>
      </c>
      <c r="G386" s="20">
        <f>Data!H386</f>
        <v>0</v>
      </c>
      <c r="H386" s="20">
        <f>Data!I386</f>
        <v>0</v>
      </c>
      <c r="I386" s="20">
        <f>Data!J386</f>
        <v>0</v>
      </c>
      <c r="J386" s="21" t="str">
        <f>IF(Data!K386=0,"",Data!K386)</f>
        <v/>
      </c>
      <c r="K386" s="22">
        <f>Data!L386</f>
        <v>0</v>
      </c>
      <c r="L386" s="21" t="str">
        <f>IF(Data!N386=0,"",Data!N386)</f>
        <v/>
      </c>
      <c r="M386" s="20">
        <f>Data!O386</f>
        <v>0</v>
      </c>
      <c r="N386" s="20">
        <f>Data!P386</f>
        <v>0</v>
      </c>
      <c r="O386" s="20">
        <f>Data!Q386</f>
        <v>0</v>
      </c>
      <c r="P386" s="20">
        <f>Data!R386</f>
        <v>0</v>
      </c>
      <c r="Q386" s="20">
        <f>Data!S386</f>
        <v>0</v>
      </c>
      <c r="R386" s="20">
        <f>Data!T386</f>
        <v>0</v>
      </c>
      <c r="S386" s="20">
        <f>Data!U386</f>
        <v>0</v>
      </c>
      <c r="T386" s="20">
        <f>Data!V386</f>
        <v>0</v>
      </c>
      <c r="U386" s="20">
        <f>Data!W386</f>
        <v>0</v>
      </c>
      <c r="V386" s="20">
        <f>Data!X386</f>
        <v>0</v>
      </c>
      <c r="W386" s="20">
        <f>Data!Y386</f>
        <v>0</v>
      </c>
      <c r="X386" s="20">
        <f>Data!Z386</f>
        <v>0</v>
      </c>
      <c r="Y386" s="22">
        <f>Data!AL386</f>
        <v>0</v>
      </c>
      <c r="Z386" s="20" t="str">
        <f>Data!AC386</f>
        <v>Acceleration side to side</v>
      </c>
      <c r="AA386" s="20" t="str">
        <f>Data!AE386</f>
        <v/>
      </c>
      <c r="AB386" s="20">
        <f>Data!AG386</f>
        <v>0</v>
      </c>
      <c r="AC386" s="20" t="str">
        <f>CONCATENATE(Data!AI386," ",Data!AJ386)</f>
        <v>0.882598519325256 m/s^2</v>
      </c>
    </row>
    <row r="387" spans="1:29" ht="15">
      <c r="A387" s="20" t="str">
        <f>Data!A387</f>
        <v>デモ機</v>
      </c>
      <c r="B387" s="20" t="str">
        <f>Data!C387</f>
        <v>Entire Organization</v>
      </c>
      <c r="C387" s="20" t="str">
        <f>IF(Data!E387=0,"",Data!E387)</f>
        <v/>
      </c>
      <c r="D387" s="26">
        <f t="shared" si="5"/>
        <v>42065.905100694443</v>
      </c>
      <c r="E387" s="27">
        <f>Data!F387</f>
        <v>42065.905100694443</v>
      </c>
      <c r="F387" s="20" t="str">
        <f>Data!G387</f>
        <v>EngineStatusRecord</v>
      </c>
      <c r="G387" s="20">
        <f>Data!H387</f>
        <v>0</v>
      </c>
      <c r="H387" s="20">
        <f>Data!I387</f>
        <v>0</v>
      </c>
      <c r="I387" s="20">
        <f>Data!J387</f>
        <v>0</v>
      </c>
      <c r="J387" s="21" t="str">
        <f>IF(Data!K387=0,"",Data!K387)</f>
        <v/>
      </c>
      <c r="K387" s="22">
        <f>Data!L387</f>
        <v>0</v>
      </c>
      <c r="L387" s="21" t="str">
        <f>IF(Data!N387=0,"",Data!N387)</f>
        <v/>
      </c>
      <c r="M387" s="20">
        <f>Data!O387</f>
        <v>0</v>
      </c>
      <c r="N387" s="20">
        <f>Data!P387</f>
        <v>0</v>
      </c>
      <c r="O387" s="20">
        <f>Data!Q387</f>
        <v>0</v>
      </c>
      <c r="P387" s="20">
        <f>Data!R387</f>
        <v>0</v>
      </c>
      <c r="Q387" s="20">
        <f>Data!S387</f>
        <v>0</v>
      </c>
      <c r="R387" s="20">
        <f>Data!T387</f>
        <v>0</v>
      </c>
      <c r="S387" s="20">
        <f>Data!U387</f>
        <v>0</v>
      </c>
      <c r="T387" s="20">
        <f>Data!V387</f>
        <v>0</v>
      </c>
      <c r="U387" s="20">
        <f>Data!W387</f>
        <v>0</v>
      </c>
      <c r="V387" s="20">
        <f>Data!X387</f>
        <v>0</v>
      </c>
      <c r="W387" s="20">
        <f>Data!Y387</f>
        <v>0</v>
      </c>
      <c r="X387" s="20">
        <f>Data!Z387</f>
        <v>0</v>
      </c>
      <c r="Y387" s="22">
        <f>Data!AL387</f>
        <v>0</v>
      </c>
      <c r="Z387" s="20" t="str">
        <f>Data!AC387</f>
        <v>Telematics device voltage</v>
      </c>
      <c r="AA387" s="20" t="str">
        <f>Data!AE387</f>
        <v/>
      </c>
      <c r="AB387" s="20">
        <f>Data!AG387</f>
        <v>0</v>
      </c>
      <c r="AC387" s="20" t="str">
        <f>CONCATENATE(Data!AI387," ",Data!AJ387)</f>
        <v>13.8597775 V</v>
      </c>
    </row>
    <row r="388" spans="1:29" ht="15">
      <c r="A388" s="20" t="str">
        <f>Data!A388</f>
        <v>デモ機</v>
      </c>
      <c r="B388" s="20" t="str">
        <f>Data!C388</f>
        <v>Entire Organization</v>
      </c>
      <c r="C388" s="20" t="str">
        <f>IF(Data!E388=0,"",Data!E388)</f>
        <v/>
      </c>
      <c r="D388" s="26">
        <f t="shared" si="5"/>
        <v>42065.905127395832</v>
      </c>
      <c r="E388" s="27">
        <f>Data!F388</f>
        <v>42065.905127395832</v>
      </c>
      <c r="F388" s="20" t="str">
        <f>Data!G388</f>
        <v>EngineStatusRecord</v>
      </c>
      <c r="G388" s="20">
        <f>Data!H388</f>
        <v>0</v>
      </c>
      <c r="H388" s="20">
        <f>Data!I388</f>
        <v>0</v>
      </c>
      <c r="I388" s="20">
        <f>Data!J388</f>
        <v>0</v>
      </c>
      <c r="J388" s="21" t="str">
        <f>IF(Data!K388=0,"",Data!K388)</f>
        <v/>
      </c>
      <c r="K388" s="22">
        <f>Data!L388</f>
        <v>0</v>
      </c>
      <c r="L388" s="21" t="str">
        <f>IF(Data!N388=0,"",Data!N388)</f>
        <v/>
      </c>
      <c r="M388" s="20">
        <f>Data!O388</f>
        <v>0</v>
      </c>
      <c r="N388" s="20">
        <f>Data!P388</f>
        <v>0</v>
      </c>
      <c r="O388" s="20">
        <f>Data!Q388</f>
        <v>0</v>
      </c>
      <c r="P388" s="20">
        <f>Data!R388</f>
        <v>0</v>
      </c>
      <c r="Q388" s="20">
        <f>Data!S388</f>
        <v>0</v>
      </c>
      <c r="R388" s="20">
        <f>Data!T388</f>
        <v>0</v>
      </c>
      <c r="S388" s="20">
        <f>Data!U388</f>
        <v>0</v>
      </c>
      <c r="T388" s="20">
        <f>Data!V388</f>
        <v>0</v>
      </c>
      <c r="U388" s="20">
        <f>Data!W388</f>
        <v>0</v>
      </c>
      <c r="V388" s="20">
        <f>Data!X388</f>
        <v>0</v>
      </c>
      <c r="W388" s="20">
        <f>Data!Y388</f>
        <v>0</v>
      </c>
      <c r="X388" s="20">
        <f>Data!Z388</f>
        <v>0</v>
      </c>
      <c r="Y388" s="22">
        <f>Data!AL388</f>
        <v>0</v>
      </c>
      <c r="Z388" s="20" t="str">
        <f>Data!AC388</f>
        <v>Engine RPM</v>
      </c>
      <c r="AA388" s="20" t="str">
        <f>Data!AE388</f>
        <v/>
      </c>
      <c r="AB388" s="20">
        <f>Data!AG388</f>
        <v>0</v>
      </c>
      <c r="AC388" s="20" t="str">
        <f>CONCATENATE(Data!AI388," ",Data!AJ388)</f>
        <v>1447.25 RPM</v>
      </c>
    </row>
    <row r="389" spans="1:29" ht="15">
      <c r="A389" s="20" t="str">
        <f>Data!A389</f>
        <v>デモ機</v>
      </c>
      <c r="B389" s="20" t="str">
        <f>Data!C389</f>
        <v>Entire Organization</v>
      </c>
      <c r="C389" s="20" t="str">
        <f>IF(Data!E389=0,"",Data!E389)</f>
        <v/>
      </c>
      <c r="D389" s="26">
        <f t="shared" si="5"/>
        <v>42065.905162037037</v>
      </c>
      <c r="E389" s="27">
        <f>Data!F389</f>
        <v>42065.905162037037</v>
      </c>
      <c r="F389" s="20" t="str">
        <f>Data!G389</f>
        <v>GpsRecord</v>
      </c>
      <c r="G389" s="20">
        <f>Data!H389</f>
        <v>37</v>
      </c>
      <c r="H389" s="20">
        <f>Data!I389</f>
        <v>139.40714</v>
      </c>
      <c r="I389" s="20">
        <f>Data!J389</f>
        <v>35.579059999999998</v>
      </c>
      <c r="J389" s="21" t="str">
        <f>IF(Data!K389=0,"",Data!K389)</f>
        <v>日本, 桜美林学園前（バス）（東京）</v>
      </c>
      <c r="K389" s="22">
        <f>Data!L389</f>
        <v>0</v>
      </c>
      <c r="L389" s="21" t="str">
        <f>IF(Data!N389=0,"",Data!N389)</f>
        <v>CurveSpeed</v>
      </c>
      <c r="M389" s="20" t="b">
        <f>Data!O389</f>
        <v>1</v>
      </c>
      <c r="N389" s="20" t="b">
        <f>Data!P389</f>
        <v>0</v>
      </c>
      <c r="O389" s="20" t="b">
        <f>Data!Q389</f>
        <v>0</v>
      </c>
      <c r="P389" s="20" t="b">
        <f>Data!R389</f>
        <v>0</v>
      </c>
      <c r="Q389" s="20" t="b">
        <f>Data!S389</f>
        <v>0</v>
      </c>
      <c r="R389" s="20" t="b">
        <f>Data!T389</f>
        <v>0</v>
      </c>
      <c r="S389" s="20" t="b">
        <f>Data!U389</f>
        <v>0</v>
      </c>
      <c r="T389" s="20" t="b">
        <f>Data!V389</f>
        <v>0</v>
      </c>
      <c r="U389" s="20" t="b">
        <f>Data!W389</f>
        <v>0</v>
      </c>
      <c r="V389" s="20" t="b">
        <f>Data!X389</f>
        <v>1</v>
      </c>
      <c r="W389" s="20" t="b">
        <f>Data!Y389</f>
        <v>1</v>
      </c>
      <c r="X389" s="20">
        <f>Data!Z389</f>
        <v>0</v>
      </c>
      <c r="Y389" s="22">
        <f>Data!AL389</f>
        <v>0</v>
      </c>
      <c r="Z389" s="20">
        <f>Data!AC389</f>
        <v>0</v>
      </c>
      <c r="AA389" s="20">
        <f>Data!AE389</f>
        <v>0</v>
      </c>
      <c r="AB389" s="20">
        <f>Data!AG389</f>
        <v>0</v>
      </c>
      <c r="AC389" s="20" t="str">
        <f>CONCATENATE(Data!AI389," ",Data!AJ389)</f>
        <v xml:space="preserve"> </v>
      </c>
    </row>
    <row r="390" spans="1:29" ht="15">
      <c r="A390" s="20" t="str">
        <f>Data!A390</f>
        <v>デモ機</v>
      </c>
      <c r="B390" s="20" t="str">
        <f>Data!C390</f>
        <v>Entire Organization</v>
      </c>
      <c r="C390" s="20" t="str">
        <f>IF(Data!E390=0,"",Data!E390)</f>
        <v/>
      </c>
      <c r="D390" s="26">
        <f t="shared" si="5"/>
        <v>42065.905292280091</v>
      </c>
      <c r="E390" s="27">
        <f>Data!F390</f>
        <v>42065.905292280091</v>
      </c>
      <c r="F390" s="20" t="str">
        <f>Data!G390</f>
        <v>EngineStatusRecord</v>
      </c>
      <c r="G390" s="20">
        <f>Data!H390</f>
        <v>0</v>
      </c>
      <c r="H390" s="20">
        <f>Data!I390</f>
        <v>0</v>
      </c>
      <c r="I390" s="20">
        <f>Data!J390</f>
        <v>0</v>
      </c>
      <c r="J390" s="21" t="str">
        <f>IF(Data!K390=0,"",Data!K390)</f>
        <v/>
      </c>
      <c r="K390" s="22">
        <f>Data!L390</f>
        <v>0</v>
      </c>
      <c r="L390" s="21" t="str">
        <f>IF(Data!N390=0,"",Data!N390)</f>
        <v/>
      </c>
      <c r="M390" s="20">
        <f>Data!O390</f>
        <v>0</v>
      </c>
      <c r="N390" s="20">
        <f>Data!P390</f>
        <v>0</v>
      </c>
      <c r="O390" s="20">
        <f>Data!Q390</f>
        <v>0</v>
      </c>
      <c r="P390" s="20">
        <f>Data!R390</f>
        <v>0</v>
      </c>
      <c r="Q390" s="20">
        <f>Data!S390</f>
        <v>0</v>
      </c>
      <c r="R390" s="20">
        <f>Data!T390</f>
        <v>0</v>
      </c>
      <c r="S390" s="20">
        <f>Data!U390</f>
        <v>0</v>
      </c>
      <c r="T390" s="20">
        <f>Data!V390</f>
        <v>0</v>
      </c>
      <c r="U390" s="20">
        <f>Data!W390</f>
        <v>0</v>
      </c>
      <c r="V390" s="20">
        <f>Data!X390</f>
        <v>0</v>
      </c>
      <c r="W390" s="20">
        <f>Data!Y390</f>
        <v>0</v>
      </c>
      <c r="X390" s="20">
        <f>Data!Z390</f>
        <v>0</v>
      </c>
      <c r="Y390" s="22">
        <f>Data!AL390</f>
        <v>0</v>
      </c>
      <c r="Z390" s="20" t="str">
        <f>Data!AC390</f>
        <v>Acceleration forward or braking</v>
      </c>
      <c r="AA390" s="20" t="str">
        <f>Data!AE390</f>
        <v/>
      </c>
      <c r="AB390" s="20">
        <f>Data!AG390</f>
        <v>0</v>
      </c>
      <c r="AC390" s="20" t="str">
        <f>CONCATENATE(Data!AI390," ",Data!AJ390)</f>
        <v>-1.23563802242279 m/s^2</v>
      </c>
    </row>
    <row r="391" spans="1:29" ht="15">
      <c r="A391" s="20" t="str">
        <f>Data!A391</f>
        <v>デモ機</v>
      </c>
      <c r="B391" s="20" t="str">
        <f>Data!C391</f>
        <v>Entire Organization</v>
      </c>
      <c r="C391" s="20" t="str">
        <f>IF(Data!E391=0,"",Data!E391)</f>
        <v/>
      </c>
      <c r="D391" s="26">
        <f t="shared" si="5"/>
        <v>42065.905292280091</v>
      </c>
      <c r="E391" s="27">
        <f>Data!F391</f>
        <v>42065.905292280091</v>
      </c>
      <c r="F391" s="20" t="str">
        <f>Data!G391</f>
        <v>EngineStatusRecord</v>
      </c>
      <c r="G391" s="20">
        <f>Data!H391</f>
        <v>0</v>
      </c>
      <c r="H391" s="20">
        <f>Data!I391</f>
        <v>0</v>
      </c>
      <c r="I391" s="20">
        <f>Data!J391</f>
        <v>0</v>
      </c>
      <c r="J391" s="21" t="str">
        <f>IF(Data!K391=0,"",Data!K391)</f>
        <v/>
      </c>
      <c r="K391" s="22">
        <f>Data!L391</f>
        <v>0</v>
      </c>
      <c r="L391" s="21" t="str">
        <f>IF(Data!N391=0,"",Data!N391)</f>
        <v/>
      </c>
      <c r="M391" s="20">
        <f>Data!O391</f>
        <v>0</v>
      </c>
      <c r="N391" s="20">
        <f>Data!P391</f>
        <v>0</v>
      </c>
      <c r="O391" s="20">
        <f>Data!Q391</f>
        <v>0</v>
      </c>
      <c r="P391" s="20">
        <f>Data!R391</f>
        <v>0</v>
      </c>
      <c r="Q391" s="20">
        <f>Data!S391</f>
        <v>0</v>
      </c>
      <c r="R391" s="20">
        <f>Data!T391</f>
        <v>0</v>
      </c>
      <c r="S391" s="20">
        <f>Data!U391</f>
        <v>0</v>
      </c>
      <c r="T391" s="20">
        <f>Data!V391</f>
        <v>0</v>
      </c>
      <c r="U391" s="20">
        <f>Data!W391</f>
        <v>0</v>
      </c>
      <c r="V391" s="20">
        <f>Data!X391</f>
        <v>0</v>
      </c>
      <c r="W391" s="20">
        <f>Data!Y391</f>
        <v>0</v>
      </c>
      <c r="X391" s="20">
        <f>Data!Z391</f>
        <v>0</v>
      </c>
      <c r="Y391" s="22">
        <f>Data!AL391</f>
        <v>0</v>
      </c>
      <c r="Z391" s="20" t="str">
        <f>Data!AC391</f>
        <v>Acceleration side to side</v>
      </c>
      <c r="AA391" s="20" t="str">
        <f>Data!AE391</f>
        <v/>
      </c>
      <c r="AB391" s="20">
        <f>Data!AG391</f>
        <v>0</v>
      </c>
      <c r="AC391" s="20" t="str">
        <f>CONCATENATE(Data!AI391," ",Data!AJ391)</f>
        <v>0 m/s^2</v>
      </c>
    </row>
    <row r="392" spans="1:29" ht="15">
      <c r="A392" s="20" t="str">
        <f>Data!A392</f>
        <v>デモ機</v>
      </c>
      <c r="B392" s="20" t="str">
        <f>Data!C392</f>
        <v>Entire Organization</v>
      </c>
      <c r="C392" s="20" t="str">
        <f>IF(Data!E392=0,"",Data!E392)</f>
        <v/>
      </c>
      <c r="D392" s="26">
        <f t="shared" si="5"/>
        <v>42065.905292280091</v>
      </c>
      <c r="E392" s="27">
        <f>Data!F392</f>
        <v>42065.905292280091</v>
      </c>
      <c r="F392" s="20" t="str">
        <f>Data!G392</f>
        <v>EngineStatusRecord</v>
      </c>
      <c r="G392" s="20">
        <f>Data!H392</f>
        <v>0</v>
      </c>
      <c r="H392" s="20">
        <f>Data!I392</f>
        <v>0</v>
      </c>
      <c r="I392" s="20">
        <f>Data!J392</f>
        <v>0</v>
      </c>
      <c r="J392" s="21" t="str">
        <f>IF(Data!K392=0,"",Data!K392)</f>
        <v/>
      </c>
      <c r="K392" s="22">
        <f>Data!L392</f>
        <v>0</v>
      </c>
      <c r="L392" s="21" t="str">
        <f>IF(Data!N392=0,"",Data!N392)</f>
        <v/>
      </c>
      <c r="M392" s="20">
        <f>Data!O392</f>
        <v>0</v>
      </c>
      <c r="N392" s="20">
        <f>Data!P392</f>
        <v>0</v>
      </c>
      <c r="O392" s="20">
        <f>Data!Q392</f>
        <v>0</v>
      </c>
      <c r="P392" s="20">
        <f>Data!R392</f>
        <v>0</v>
      </c>
      <c r="Q392" s="20">
        <f>Data!S392</f>
        <v>0</v>
      </c>
      <c r="R392" s="20">
        <f>Data!T392</f>
        <v>0</v>
      </c>
      <c r="S392" s="20">
        <f>Data!U392</f>
        <v>0</v>
      </c>
      <c r="T392" s="20">
        <f>Data!V392</f>
        <v>0</v>
      </c>
      <c r="U392" s="20">
        <f>Data!W392</f>
        <v>0</v>
      </c>
      <c r="V392" s="20">
        <f>Data!X392</f>
        <v>0</v>
      </c>
      <c r="W392" s="20">
        <f>Data!Y392</f>
        <v>0</v>
      </c>
      <c r="X392" s="20">
        <f>Data!Z392</f>
        <v>0</v>
      </c>
      <c r="Y392" s="22">
        <f>Data!AL392</f>
        <v>0</v>
      </c>
      <c r="Z392" s="20" t="str">
        <f>Data!AC392</f>
        <v>Acceleration up down</v>
      </c>
      <c r="AA392" s="20" t="str">
        <f>Data!AE392</f>
        <v/>
      </c>
      <c r="AB392" s="20">
        <f>Data!AG392</f>
        <v>0</v>
      </c>
      <c r="AC392" s="20" t="str">
        <f>CONCATENATE(Data!AI392," ",Data!AJ392)</f>
        <v>9.53206253051757 m/s^2</v>
      </c>
    </row>
    <row r="393" spans="1:29" ht="15">
      <c r="A393" s="20" t="str">
        <f>Data!A393</f>
        <v>デモ機</v>
      </c>
      <c r="B393" s="20" t="str">
        <f>Data!C393</f>
        <v>Entire Organization</v>
      </c>
      <c r="C393" s="20" t="str">
        <f>IF(Data!E393=0,"",Data!E393)</f>
        <v/>
      </c>
      <c r="D393" s="26">
        <f t="shared" ref="D393:D456" si="6">E393</f>
        <v>42065.905332175927</v>
      </c>
      <c r="E393" s="27">
        <f>Data!F393</f>
        <v>42065.905332175927</v>
      </c>
      <c r="F393" s="20" t="str">
        <f>Data!G393</f>
        <v>EngineStatusRecord</v>
      </c>
      <c r="G393" s="20">
        <f>Data!H393</f>
        <v>0</v>
      </c>
      <c r="H393" s="20">
        <f>Data!I393</f>
        <v>0</v>
      </c>
      <c r="I393" s="20">
        <f>Data!J393</f>
        <v>0</v>
      </c>
      <c r="J393" s="21" t="str">
        <f>IF(Data!K393=0,"",Data!K393)</f>
        <v/>
      </c>
      <c r="K393" s="22">
        <f>Data!L393</f>
        <v>0</v>
      </c>
      <c r="L393" s="21" t="str">
        <f>IF(Data!N393=0,"",Data!N393)</f>
        <v/>
      </c>
      <c r="M393" s="20">
        <f>Data!O393</f>
        <v>0</v>
      </c>
      <c r="N393" s="20">
        <f>Data!P393</f>
        <v>0</v>
      </c>
      <c r="O393" s="20">
        <f>Data!Q393</f>
        <v>0</v>
      </c>
      <c r="P393" s="20">
        <f>Data!R393</f>
        <v>0</v>
      </c>
      <c r="Q393" s="20">
        <f>Data!S393</f>
        <v>0</v>
      </c>
      <c r="R393" s="20">
        <f>Data!T393</f>
        <v>0</v>
      </c>
      <c r="S393" s="20">
        <f>Data!U393</f>
        <v>0</v>
      </c>
      <c r="T393" s="20">
        <f>Data!V393</f>
        <v>0</v>
      </c>
      <c r="U393" s="20">
        <f>Data!W393</f>
        <v>0</v>
      </c>
      <c r="V393" s="20">
        <f>Data!X393</f>
        <v>0</v>
      </c>
      <c r="W393" s="20">
        <f>Data!Y393</f>
        <v>0</v>
      </c>
      <c r="X393" s="20">
        <f>Data!Z393</f>
        <v>0</v>
      </c>
      <c r="Y393" s="22">
        <f>Data!AL393</f>
        <v>0</v>
      </c>
      <c r="Z393" s="20" t="str">
        <f>Data!AC393</f>
        <v>Telematics device voltage</v>
      </c>
      <c r="AA393" s="20" t="str">
        <f>Data!AE393</f>
        <v/>
      </c>
      <c r="AB393" s="20">
        <f>Data!AG393</f>
        <v>0</v>
      </c>
      <c r="AC393" s="20" t="str">
        <f>CONCATENATE(Data!AI393," ",Data!AJ393)</f>
        <v>13.2515554 V</v>
      </c>
    </row>
    <row r="394" spans="1:29" ht="15">
      <c r="A394" s="20" t="str">
        <f>Data!A394</f>
        <v>デモ機</v>
      </c>
      <c r="B394" s="20" t="str">
        <f>Data!C394</f>
        <v>Entire Organization</v>
      </c>
      <c r="C394" s="20" t="str">
        <f>IF(Data!E394=0,"",Data!E394)</f>
        <v/>
      </c>
      <c r="D394" s="26">
        <f t="shared" si="6"/>
        <v>42065.905347222222</v>
      </c>
      <c r="E394" s="27">
        <f>Data!F394</f>
        <v>42065.905347222222</v>
      </c>
      <c r="F394" s="20" t="str">
        <f>Data!G394</f>
        <v>GpsRecord</v>
      </c>
      <c r="G394" s="20">
        <f>Data!H394</f>
        <v>0</v>
      </c>
      <c r="H394" s="20">
        <f>Data!I394</f>
        <v>139.40634</v>
      </c>
      <c r="I394" s="20">
        <f>Data!J394</f>
        <v>35.578519999999997</v>
      </c>
      <c r="J394" s="21" t="str">
        <f>IF(Data!K394=0,"",Data!K394)</f>
        <v>日本, 〒194-0034 東京都町田市根岸町１００８−１３</v>
      </c>
      <c r="K394" s="22">
        <f>Data!L394</f>
        <v>0</v>
      </c>
      <c r="L394" s="21" t="str">
        <f>IF(Data!N394=0,"",Data!N394)</f>
        <v>CurveZeroSpeed</v>
      </c>
      <c r="M394" s="20" t="b">
        <f>Data!O394</f>
        <v>1</v>
      </c>
      <c r="N394" s="20" t="b">
        <f>Data!P394</f>
        <v>0</v>
      </c>
      <c r="O394" s="20" t="b">
        <f>Data!Q394</f>
        <v>0</v>
      </c>
      <c r="P394" s="20" t="b">
        <f>Data!R394</f>
        <v>0</v>
      </c>
      <c r="Q394" s="20" t="b">
        <f>Data!S394</f>
        <v>0</v>
      </c>
      <c r="R394" s="20" t="b">
        <f>Data!T394</f>
        <v>0</v>
      </c>
      <c r="S394" s="20" t="b">
        <f>Data!U394</f>
        <v>0</v>
      </c>
      <c r="T394" s="20" t="b">
        <f>Data!V394</f>
        <v>0</v>
      </c>
      <c r="U394" s="20" t="b">
        <f>Data!W394</f>
        <v>0</v>
      </c>
      <c r="V394" s="20" t="b">
        <f>Data!X394</f>
        <v>1</v>
      </c>
      <c r="W394" s="20" t="b">
        <f>Data!Y394</f>
        <v>1</v>
      </c>
      <c r="X394" s="20">
        <f>Data!Z394</f>
        <v>0</v>
      </c>
      <c r="Y394" s="22">
        <f>Data!AL394</f>
        <v>0</v>
      </c>
      <c r="Z394" s="20">
        <f>Data!AC394</f>
        <v>0</v>
      </c>
      <c r="AA394" s="20">
        <f>Data!AE394</f>
        <v>0</v>
      </c>
      <c r="AB394" s="20">
        <f>Data!AG394</f>
        <v>0</v>
      </c>
      <c r="AC394" s="20" t="str">
        <f>CONCATENATE(Data!AI394," ",Data!AJ394)</f>
        <v xml:space="preserve"> </v>
      </c>
    </row>
    <row r="395" spans="1:29" ht="15">
      <c r="A395" s="20" t="str">
        <f>Data!A395</f>
        <v>デモ機</v>
      </c>
      <c r="B395" s="20" t="str">
        <f>Data!C395</f>
        <v>Entire Organization</v>
      </c>
      <c r="C395" s="20" t="str">
        <f>IF(Data!E395=0,"",Data!E395)</f>
        <v/>
      </c>
      <c r="D395" s="26">
        <f t="shared" si="6"/>
        <v>42065.905370370368</v>
      </c>
      <c r="E395" s="27">
        <f>Data!F395</f>
        <v>42065.905370370368</v>
      </c>
      <c r="F395" s="20" t="str">
        <f>Data!G395</f>
        <v>GpsRecord</v>
      </c>
      <c r="G395" s="20">
        <f>Data!H395</f>
        <v>1</v>
      </c>
      <c r="H395" s="20">
        <f>Data!I395</f>
        <v>139.40634</v>
      </c>
      <c r="I395" s="20">
        <f>Data!J395</f>
        <v>35.578519999999997</v>
      </c>
      <c r="J395" s="21" t="str">
        <f>IF(Data!K395=0,"",Data!K395)</f>
        <v>日本, 〒194-0034 東京都町田市根岸町１００８−１３</v>
      </c>
      <c r="K395" s="22">
        <f>Data!L395</f>
        <v>0</v>
      </c>
      <c r="L395" s="21" t="str">
        <f>IF(Data!N395=0,"",Data!N395)</f>
        <v>CurveZeroSpeed</v>
      </c>
      <c r="M395" s="20" t="b">
        <f>Data!O395</f>
        <v>1</v>
      </c>
      <c r="N395" s="20" t="b">
        <f>Data!P395</f>
        <v>0</v>
      </c>
      <c r="O395" s="20" t="b">
        <f>Data!Q395</f>
        <v>0</v>
      </c>
      <c r="P395" s="20" t="b">
        <f>Data!R395</f>
        <v>0</v>
      </c>
      <c r="Q395" s="20" t="b">
        <f>Data!S395</f>
        <v>0</v>
      </c>
      <c r="R395" s="20" t="b">
        <f>Data!T395</f>
        <v>0</v>
      </c>
      <c r="S395" s="20" t="b">
        <f>Data!U395</f>
        <v>0</v>
      </c>
      <c r="T395" s="20" t="b">
        <f>Data!V395</f>
        <v>0</v>
      </c>
      <c r="U395" s="20" t="b">
        <f>Data!W395</f>
        <v>0</v>
      </c>
      <c r="V395" s="20" t="b">
        <f>Data!X395</f>
        <v>1</v>
      </c>
      <c r="W395" s="20" t="b">
        <f>Data!Y395</f>
        <v>1</v>
      </c>
      <c r="X395" s="20">
        <f>Data!Z395</f>
        <v>0</v>
      </c>
      <c r="Y395" s="22">
        <f>Data!AL395</f>
        <v>0</v>
      </c>
      <c r="Z395" s="20">
        <f>Data!AC395</f>
        <v>0</v>
      </c>
      <c r="AA395" s="20">
        <f>Data!AE395</f>
        <v>0</v>
      </c>
      <c r="AB395" s="20">
        <f>Data!AG395</f>
        <v>0</v>
      </c>
      <c r="AC395" s="20" t="str">
        <f>CONCATENATE(Data!AI395," ",Data!AJ395)</f>
        <v xml:space="preserve"> </v>
      </c>
    </row>
    <row r="396" spans="1:29" ht="15">
      <c r="A396" s="20" t="str">
        <f>Data!A396</f>
        <v>デモ機</v>
      </c>
      <c r="B396" s="20" t="str">
        <f>Data!C396</f>
        <v>Entire Organization</v>
      </c>
      <c r="C396" s="20" t="str">
        <f>IF(Data!E396=0,"",Data!E396)</f>
        <v/>
      </c>
      <c r="D396" s="26">
        <f t="shared" si="6"/>
        <v>42065.90537083333</v>
      </c>
      <c r="E396" s="27">
        <f>Data!F396</f>
        <v>42065.90537083333</v>
      </c>
      <c r="F396" s="20" t="str">
        <f>Data!G396</f>
        <v>EngineStatusRecord</v>
      </c>
      <c r="G396" s="20">
        <f>Data!H396</f>
        <v>0</v>
      </c>
      <c r="H396" s="20">
        <f>Data!I396</f>
        <v>0</v>
      </c>
      <c r="I396" s="20">
        <f>Data!J396</f>
        <v>0</v>
      </c>
      <c r="J396" s="21" t="str">
        <f>IF(Data!K396=0,"",Data!K396)</f>
        <v/>
      </c>
      <c r="K396" s="22">
        <f>Data!L396</f>
        <v>0</v>
      </c>
      <c r="L396" s="21" t="str">
        <f>IF(Data!N396=0,"",Data!N396)</f>
        <v/>
      </c>
      <c r="M396" s="20">
        <f>Data!O396</f>
        <v>0</v>
      </c>
      <c r="N396" s="20">
        <f>Data!P396</f>
        <v>0</v>
      </c>
      <c r="O396" s="20">
        <f>Data!Q396</f>
        <v>0</v>
      </c>
      <c r="P396" s="20">
        <f>Data!R396</f>
        <v>0</v>
      </c>
      <c r="Q396" s="20">
        <f>Data!S396</f>
        <v>0</v>
      </c>
      <c r="R396" s="20">
        <f>Data!T396</f>
        <v>0</v>
      </c>
      <c r="S396" s="20">
        <f>Data!U396</f>
        <v>0</v>
      </c>
      <c r="T396" s="20">
        <f>Data!V396</f>
        <v>0</v>
      </c>
      <c r="U396" s="20">
        <f>Data!W396</f>
        <v>0</v>
      </c>
      <c r="V396" s="20">
        <f>Data!X396</f>
        <v>0</v>
      </c>
      <c r="W396" s="20">
        <f>Data!Y396</f>
        <v>0</v>
      </c>
      <c r="X396" s="20">
        <f>Data!Z396</f>
        <v>0</v>
      </c>
      <c r="Y396" s="22">
        <f>Data!AL396</f>
        <v>0</v>
      </c>
      <c r="Z396" s="20" t="str">
        <f>Data!AC396</f>
        <v>Engine RPM</v>
      </c>
      <c r="AA396" s="20" t="str">
        <f>Data!AE396</f>
        <v/>
      </c>
      <c r="AB396" s="20">
        <f>Data!AG396</f>
        <v>0</v>
      </c>
      <c r="AC396" s="20" t="str">
        <f>CONCATENATE(Data!AI396," ",Data!AJ396)</f>
        <v>748.25 RPM</v>
      </c>
    </row>
    <row r="397" spans="1:29" ht="15">
      <c r="A397" s="20" t="str">
        <f>Data!A397</f>
        <v>デモ機</v>
      </c>
      <c r="B397" s="20" t="str">
        <f>Data!C397</f>
        <v>Entire Organization</v>
      </c>
      <c r="C397" s="20" t="str">
        <f>IF(Data!E397=0,"",Data!E397)</f>
        <v/>
      </c>
      <c r="D397" s="26">
        <f t="shared" si="6"/>
        <v>42065.905397604169</v>
      </c>
      <c r="E397" s="27">
        <f>Data!F397</f>
        <v>42065.905397604169</v>
      </c>
      <c r="F397" s="20" t="str">
        <f>Data!G397</f>
        <v>EngineStatusRecord</v>
      </c>
      <c r="G397" s="20">
        <f>Data!H397</f>
        <v>0</v>
      </c>
      <c r="H397" s="20">
        <f>Data!I397</f>
        <v>0</v>
      </c>
      <c r="I397" s="20">
        <f>Data!J397</f>
        <v>0</v>
      </c>
      <c r="J397" s="21" t="str">
        <f>IF(Data!K397=0,"",Data!K397)</f>
        <v/>
      </c>
      <c r="K397" s="22">
        <f>Data!L397</f>
        <v>0</v>
      </c>
      <c r="L397" s="21" t="str">
        <f>IF(Data!N397=0,"",Data!N397)</f>
        <v/>
      </c>
      <c r="M397" s="20">
        <f>Data!O397</f>
        <v>0</v>
      </c>
      <c r="N397" s="20">
        <f>Data!P397</f>
        <v>0</v>
      </c>
      <c r="O397" s="20">
        <f>Data!Q397</f>
        <v>0</v>
      </c>
      <c r="P397" s="20">
        <f>Data!R397</f>
        <v>0</v>
      </c>
      <c r="Q397" s="20">
        <f>Data!S397</f>
        <v>0</v>
      </c>
      <c r="R397" s="20">
        <f>Data!T397</f>
        <v>0</v>
      </c>
      <c r="S397" s="20">
        <f>Data!U397</f>
        <v>0</v>
      </c>
      <c r="T397" s="20">
        <f>Data!V397</f>
        <v>0</v>
      </c>
      <c r="U397" s="20">
        <f>Data!W397</f>
        <v>0</v>
      </c>
      <c r="V397" s="20">
        <f>Data!X397</f>
        <v>0</v>
      </c>
      <c r="W397" s="20">
        <f>Data!Y397</f>
        <v>0</v>
      </c>
      <c r="X397" s="20">
        <f>Data!Z397</f>
        <v>0</v>
      </c>
      <c r="Y397" s="22">
        <f>Data!AL397</f>
        <v>0</v>
      </c>
      <c r="Z397" s="20" t="str">
        <f>Data!AC397</f>
        <v>Acceleration forward or braking</v>
      </c>
      <c r="AA397" s="20" t="str">
        <f>Data!AE397</f>
        <v/>
      </c>
      <c r="AB397" s="20">
        <f>Data!AG397</f>
        <v>0</v>
      </c>
      <c r="AC397" s="20" t="str">
        <f>CONCATENATE(Data!AI397," ",Data!AJ397)</f>
        <v>1.94171702861785 m/s^2</v>
      </c>
    </row>
    <row r="398" spans="1:29" ht="15">
      <c r="A398" s="20" t="str">
        <f>Data!A398</f>
        <v>デモ機</v>
      </c>
      <c r="B398" s="20" t="str">
        <f>Data!C398</f>
        <v>Entire Organization</v>
      </c>
      <c r="C398" s="20" t="str">
        <f>IF(Data!E398=0,"",Data!E398)</f>
        <v/>
      </c>
      <c r="D398" s="26">
        <f t="shared" si="6"/>
        <v>42065.905397604169</v>
      </c>
      <c r="E398" s="27">
        <f>Data!F398</f>
        <v>42065.905397604169</v>
      </c>
      <c r="F398" s="20" t="str">
        <f>Data!G398</f>
        <v>EngineStatusRecord</v>
      </c>
      <c r="G398" s="20">
        <f>Data!H398</f>
        <v>0</v>
      </c>
      <c r="H398" s="20">
        <f>Data!I398</f>
        <v>0</v>
      </c>
      <c r="I398" s="20">
        <f>Data!J398</f>
        <v>0</v>
      </c>
      <c r="J398" s="21" t="str">
        <f>IF(Data!K398=0,"",Data!K398)</f>
        <v/>
      </c>
      <c r="K398" s="22">
        <f>Data!L398</f>
        <v>0</v>
      </c>
      <c r="L398" s="21" t="str">
        <f>IF(Data!N398=0,"",Data!N398)</f>
        <v/>
      </c>
      <c r="M398" s="20">
        <f>Data!O398</f>
        <v>0</v>
      </c>
      <c r="N398" s="20">
        <f>Data!P398</f>
        <v>0</v>
      </c>
      <c r="O398" s="20">
        <f>Data!Q398</f>
        <v>0</v>
      </c>
      <c r="P398" s="20">
        <f>Data!R398</f>
        <v>0</v>
      </c>
      <c r="Q398" s="20">
        <f>Data!S398</f>
        <v>0</v>
      </c>
      <c r="R398" s="20">
        <f>Data!T398</f>
        <v>0</v>
      </c>
      <c r="S398" s="20">
        <f>Data!U398</f>
        <v>0</v>
      </c>
      <c r="T398" s="20">
        <f>Data!V398</f>
        <v>0</v>
      </c>
      <c r="U398" s="20">
        <f>Data!W398</f>
        <v>0</v>
      </c>
      <c r="V398" s="20">
        <f>Data!X398</f>
        <v>0</v>
      </c>
      <c r="W398" s="20">
        <f>Data!Y398</f>
        <v>0</v>
      </c>
      <c r="X398" s="20">
        <f>Data!Z398</f>
        <v>0</v>
      </c>
      <c r="Y398" s="22">
        <f>Data!AL398</f>
        <v>0</v>
      </c>
      <c r="Z398" s="20" t="str">
        <f>Data!AC398</f>
        <v>Acceleration up down</v>
      </c>
      <c r="AA398" s="20" t="str">
        <f>Data!AE398</f>
        <v/>
      </c>
      <c r="AB398" s="20">
        <f>Data!AG398</f>
        <v>0</v>
      </c>
      <c r="AC398" s="20" t="str">
        <f>CONCATENATE(Data!AI398," ",Data!AJ398)</f>
        <v>9.17902469635009 m/s^2</v>
      </c>
    </row>
    <row r="399" spans="1:29" ht="15">
      <c r="A399" s="20" t="str">
        <f>Data!A399</f>
        <v>デモ機</v>
      </c>
      <c r="B399" s="20" t="str">
        <f>Data!C399</f>
        <v>Entire Organization</v>
      </c>
      <c r="C399" s="20" t="str">
        <f>IF(Data!E399=0,"",Data!E399)</f>
        <v/>
      </c>
      <c r="D399" s="26">
        <f t="shared" si="6"/>
        <v>42065.905397604169</v>
      </c>
      <c r="E399" s="27">
        <f>Data!F399</f>
        <v>42065.905397604169</v>
      </c>
      <c r="F399" s="20" t="str">
        <f>Data!G399</f>
        <v>EngineStatusRecord</v>
      </c>
      <c r="G399" s="20">
        <f>Data!H399</f>
        <v>0</v>
      </c>
      <c r="H399" s="20">
        <f>Data!I399</f>
        <v>0</v>
      </c>
      <c r="I399" s="20">
        <f>Data!J399</f>
        <v>0</v>
      </c>
      <c r="J399" s="21" t="str">
        <f>IF(Data!K399=0,"",Data!K399)</f>
        <v/>
      </c>
      <c r="K399" s="22">
        <f>Data!L399</f>
        <v>0</v>
      </c>
      <c r="L399" s="21" t="str">
        <f>IF(Data!N399=0,"",Data!N399)</f>
        <v/>
      </c>
      <c r="M399" s="20">
        <f>Data!O399</f>
        <v>0</v>
      </c>
      <c r="N399" s="20">
        <f>Data!P399</f>
        <v>0</v>
      </c>
      <c r="O399" s="20">
        <f>Data!Q399</f>
        <v>0</v>
      </c>
      <c r="P399" s="20">
        <f>Data!R399</f>
        <v>0</v>
      </c>
      <c r="Q399" s="20">
        <f>Data!S399</f>
        <v>0</v>
      </c>
      <c r="R399" s="20">
        <f>Data!T399</f>
        <v>0</v>
      </c>
      <c r="S399" s="20">
        <f>Data!U399</f>
        <v>0</v>
      </c>
      <c r="T399" s="20">
        <f>Data!V399</f>
        <v>0</v>
      </c>
      <c r="U399" s="20">
        <f>Data!W399</f>
        <v>0</v>
      </c>
      <c r="V399" s="20">
        <f>Data!X399</f>
        <v>0</v>
      </c>
      <c r="W399" s="20">
        <f>Data!Y399</f>
        <v>0</v>
      </c>
      <c r="X399" s="20">
        <f>Data!Z399</f>
        <v>0</v>
      </c>
      <c r="Y399" s="22">
        <f>Data!AL399</f>
        <v>0</v>
      </c>
      <c r="Z399" s="20" t="str">
        <f>Data!AC399</f>
        <v>Acceleration side to side</v>
      </c>
      <c r="AA399" s="20" t="str">
        <f>Data!AE399</f>
        <v/>
      </c>
      <c r="AB399" s="20">
        <f>Data!AG399</f>
        <v>0</v>
      </c>
      <c r="AC399" s="20" t="str">
        <f>CONCATENATE(Data!AI399," ",Data!AJ399)</f>
        <v>0 m/s^2</v>
      </c>
    </row>
    <row r="400" spans="1:29" ht="15">
      <c r="A400" s="20" t="str">
        <f>Data!A400</f>
        <v>デモ機</v>
      </c>
      <c r="B400" s="20" t="str">
        <f>Data!C400</f>
        <v>Entire Organization</v>
      </c>
      <c r="C400" s="20" t="str">
        <f>IF(Data!E400=0,"",Data!E400)</f>
        <v/>
      </c>
      <c r="D400" s="26">
        <f t="shared" si="6"/>
        <v>42065.905405173609</v>
      </c>
      <c r="E400" s="27">
        <f>Data!F400</f>
        <v>42065.905405173609</v>
      </c>
      <c r="F400" s="20" t="str">
        <f>Data!G400</f>
        <v>EngineStatusRecord</v>
      </c>
      <c r="G400" s="20">
        <f>Data!H400</f>
        <v>0</v>
      </c>
      <c r="H400" s="20">
        <f>Data!I400</f>
        <v>0</v>
      </c>
      <c r="I400" s="20">
        <f>Data!J400</f>
        <v>0</v>
      </c>
      <c r="J400" s="21" t="str">
        <f>IF(Data!K400=0,"",Data!K400)</f>
        <v/>
      </c>
      <c r="K400" s="22">
        <f>Data!L400</f>
        <v>0</v>
      </c>
      <c r="L400" s="21" t="str">
        <f>IF(Data!N400=0,"",Data!N400)</f>
        <v/>
      </c>
      <c r="M400" s="20">
        <f>Data!O400</f>
        <v>0</v>
      </c>
      <c r="N400" s="20">
        <f>Data!P400</f>
        <v>0</v>
      </c>
      <c r="O400" s="20">
        <f>Data!Q400</f>
        <v>0</v>
      </c>
      <c r="P400" s="20">
        <f>Data!R400</f>
        <v>0</v>
      </c>
      <c r="Q400" s="20">
        <f>Data!S400</f>
        <v>0</v>
      </c>
      <c r="R400" s="20">
        <f>Data!T400</f>
        <v>0</v>
      </c>
      <c r="S400" s="20">
        <f>Data!U400</f>
        <v>0</v>
      </c>
      <c r="T400" s="20">
        <f>Data!V400</f>
        <v>0</v>
      </c>
      <c r="U400" s="20">
        <f>Data!W400</f>
        <v>0</v>
      </c>
      <c r="V400" s="20">
        <f>Data!X400</f>
        <v>0</v>
      </c>
      <c r="W400" s="20">
        <f>Data!Y400</f>
        <v>0</v>
      </c>
      <c r="X400" s="20">
        <f>Data!Z400</f>
        <v>0</v>
      </c>
      <c r="Y400" s="22">
        <f>Data!AL400</f>
        <v>0</v>
      </c>
      <c r="Z400" s="20" t="str">
        <f>Data!AC400</f>
        <v>Engine RPM</v>
      </c>
      <c r="AA400" s="20" t="str">
        <f>Data!AE400</f>
        <v/>
      </c>
      <c r="AB400" s="20">
        <f>Data!AG400</f>
        <v>0</v>
      </c>
      <c r="AC400" s="20" t="str">
        <f>CONCATENATE(Data!AI400," ",Data!AJ400)</f>
        <v>1741.5 RPM</v>
      </c>
    </row>
    <row r="401" spans="1:29" ht="15">
      <c r="A401" s="20" t="str">
        <f>Data!A401</f>
        <v>デモ機</v>
      </c>
      <c r="B401" s="20" t="str">
        <f>Data!C401</f>
        <v>Entire Organization</v>
      </c>
      <c r="C401" s="20" t="str">
        <f>IF(Data!E401=0,"",Data!E401)</f>
        <v/>
      </c>
      <c r="D401" s="26">
        <f t="shared" si="6"/>
        <v>42065.905428240738</v>
      </c>
      <c r="E401" s="27">
        <f>Data!F401</f>
        <v>42065.905428240738</v>
      </c>
      <c r="F401" s="20" t="str">
        <f>Data!G401</f>
        <v>GpsRecord</v>
      </c>
      <c r="G401" s="20">
        <f>Data!H401</f>
        <v>24</v>
      </c>
      <c r="H401" s="20">
        <f>Data!I401</f>
        <v>139.40619000000001</v>
      </c>
      <c r="I401" s="20">
        <f>Data!J401</f>
        <v>35.578420000000001</v>
      </c>
      <c r="J401" s="21" t="str">
        <f>IF(Data!K401=0,"",Data!K401)</f>
        <v>日本, 〒194-0034 東京都町田市根岸町１００８−１０</v>
      </c>
      <c r="K401" s="22">
        <f>Data!L401</f>
        <v>0</v>
      </c>
      <c r="L401" s="21" t="str">
        <f>IF(Data!N401=0,"",Data!N401)</f>
        <v>CurveSpeed</v>
      </c>
      <c r="M401" s="20" t="b">
        <f>Data!O401</f>
        <v>1</v>
      </c>
      <c r="N401" s="20" t="b">
        <f>Data!P401</f>
        <v>0</v>
      </c>
      <c r="O401" s="20" t="b">
        <f>Data!Q401</f>
        <v>0</v>
      </c>
      <c r="P401" s="20" t="b">
        <f>Data!R401</f>
        <v>0</v>
      </c>
      <c r="Q401" s="20" t="b">
        <f>Data!S401</f>
        <v>0</v>
      </c>
      <c r="R401" s="20" t="b">
        <f>Data!T401</f>
        <v>0</v>
      </c>
      <c r="S401" s="20" t="b">
        <f>Data!U401</f>
        <v>0</v>
      </c>
      <c r="T401" s="20" t="b">
        <f>Data!V401</f>
        <v>0</v>
      </c>
      <c r="U401" s="20" t="b">
        <f>Data!W401</f>
        <v>0</v>
      </c>
      <c r="V401" s="20" t="b">
        <f>Data!X401</f>
        <v>1</v>
      </c>
      <c r="W401" s="20" t="b">
        <f>Data!Y401</f>
        <v>1</v>
      </c>
      <c r="X401" s="20">
        <f>Data!Z401</f>
        <v>0</v>
      </c>
      <c r="Y401" s="22">
        <f>Data!AL401</f>
        <v>0</v>
      </c>
      <c r="Z401" s="20">
        <f>Data!AC401</f>
        <v>0</v>
      </c>
      <c r="AA401" s="20">
        <f>Data!AE401</f>
        <v>0</v>
      </c>
      <c r="AB401" s="20">
        <f>Data!AG401</f>
        <v>0</v>
      </c>
      <c r="AC401" s="20" t="str">
        <f>CONCATENATE(Data!AI401," ",Data!AJ401)</f>
        <v xml:space="preserve"> </v>
      </c>
    </row>
    <row r="402" spans="1:29" ht="15">
      <c r="A402" s="20" t="str">
        <f>Data!A402</f>
        <v>デモ機</v>
      </c>
      <c r="B402" s="20" t="str">
        <f>Data!C402</f>
        <v>Entire Organization</v>
      </c>
      <c r="C402" s="20" t="str">
        <f>IF(Data!E402=0,"",Data!E402)</f>
        <v/>
      </c>
      <c r="D402" s="26">
        <f t="shared" si="6"/>
        <v>42065.905439965281</v>
      </c>
      <c r="E402" s="27">
        <f>Data!F402</f>
        <v>42065.905439965281</v>
      </c>
      <c r="F402" s="20" t="str">
        <f>Data!G402</f>
        <v>EngineStatusRecord</v>
      </c>
      <c r="G402" s="20">
        <f>Data!H402</f>
        <v>0</v>
      </c>
      <c r="H402" s="20">
        <f>Data!I402</f>
        <v>0</v>
      </c>
      <c r="I402" s="20">
        <f>Data!J402</f>
        <v>0</v>
      </c>
      <c r="J402" s="21" t="str">
        <f>IF(Data!K402=0,"",Data!K402)</f>
        <v/>
      </c>
      <c r="K402" s="22">
        <f>Data!L402</f>
        <v>0</v>
      </c>
      <c r="L402" s="21" t="str">
        <f>IF(Data!N402=0,"",Data!N402)</f>
        <v/>
      </c>
      <c r="M402" s="20">
        <f>Data!O402</f>
        <v>0</v>
      </c>
      <c r="N402" s="20">
        <f>Data!P402</f>
        <v>0</v>
      </c>
      <c r="O402" s="20">
        <f>Data!Q402</f>
        <v>0</v>
      </c>
      <c r="P402" s="20">
        <f>Data!R402</f>
        <v>0</v>
      </c>
      <c r="Q402" s="20">
        <f>Data!S402</f>
        <v>0</v>
      </c>
      <c r="R402" s="20">
        <f>Data!T402</f>
        <v>0</v>
      </c>
      <c r="S402" s="20">
        <f>Data!U402</f>
        <v>0</v>
      </c>
      <c r="T402" s="20">
        <f>Data!V402</f>
        <v>0</v>
      </c>
      <c r="U402" s="20">
        <f>Data!W402</f>
        <v>0</v>
      </c>
      <c r="V402" s="20">
        <f>Data!X402</f>
        <v>0</v>
      </c>
      <c r="W402" s="20">
        <f>Data!Y402</f>
        <v>0</v>
      </c>
      <c r="X402" s="20">
        <f>Data!Z402</f>
        <v>0</v>
      </c>
      <c r="Y402" s="22">
        <f>Data!AL402</f>
        <v>0</v>
      </c>
      <c r="Z402" s="20" t="str">
        <f>Data!AC402</f>
        <v>Engine RPM</v>
      </c>
      <c r="AA402" s="20" t="str">
        <f>Data!AE402</f>
        <v/>
      </c>
      <c r="AB402" s="20">
        <f>Data!AG402</f>
        <v>0</v>
      </c>
      <c r="AC402" s="20" t="str">
        <f>CONCATENATE(Data!AI402," ",Data!AJ402)</f>
        <v>1036 RPM</v>
      </c>
    </row>
    <row r="403" spans="1:29" ht="15">
      <c r="A403" s="20" t="str">
        <f>Data!A403</f>
        <v>デモ機</v>
      </c>
      <c r="B403" s="20" t="str">
        <f>Data!C403</f>
        <v>Entire Organization</v>
      </c>
      <c r="C403" s="20" t="str">
        <f>IF(Data!E403=0,"",Data!E403)</f>
        <v/>
      </c>
      <c r="D403" s="26">
        <f t="shared" si="6"/>
        <v>42065.905462962961</v>
      </c>
      <c r="E403" s="27">
        <f>Data!F403</f>
        <v>42065.905462962961</v>
      </c>
      <c r="F403" s="20" t="str">
        <f>Data!G403</f>
        <v>DebugRecord</v>
      </c>
      <c r="G403" s="20">
        <f>Data!H403</f>
        <v>0</v>
      </c>
      <c r="H403" s="20">
        <f>Data!I403</f>
        <v>0</v>
      </c>
      <c r="I403" s="20">
        <f>Data!J403</f>
        <v>0</v>
      </c>
      <c r="J403" s="21" t="str">
        <f>IF(Data!K403=0,"",Data!K403)</f>
        <v/>
      </c>
      <c r="K403" s="22">
        <f>Data!L403</f>
        <v>0</v>
      </c>
      <c r="L403" s="21" t="str">
        <f>IF(Data!N403=0,"",Data!N403)</f>
        <v>IntermittentConnectionTestProtocolCanObd</v>
      </c>
      <c r="M403" s="20">
        <f>Data!O403</f>
        <v>0</v>
      </c>
      <c r="N403" s="20">
        <f>Data!P403</f>
        <v>0</v>
      </c>
      <c r="O403" s="20">
        <f>Data!Q403</f>
        <v>0</v>
      </c>
      <c r="P403" s="20">
        <f>Data!R403</f>
        <v>0</v>
      </c>
      <c r="Q403" s="20">
        <f>Data!S403</f>
        <v>0</v>
      </c>
      <c r="R403" s="20">
        <f>Data!T403</f>
        <v>0</v>
      </c>
      <c r="S403" s="20">
        <f>Data!U403</f>
        <v>0</v>
      </c>
      <c r="T403" s="20">
        <f>Data!V403</f>
        <v>0</v>
      </c>
      <c r="U403" s="20">
        <f>Data!W403</f>
        <v>0</v>
      </c>
      <c r="V403" s="20">
        <f>Data!X403</f>
        <v>0</v>
      </c>
      <c r="W403" s="20">
        <f>Data!Y403</f>
        <v>0</v>
      </c>
      <c r="X403" s="20">
        <f>Data!Z403</f>
        <v>0</v>
      </c>
      <c r="Y403" s="22" t="str">
        <f>Data!AL403</f>
        <v>6F0000000000000000000000000000</v>
      </c>
      <c r="Z403" s="20">
        <f>Data!AC403</f>
        <v>0</v>
      </c>
      <c r="AA403" s="20">
        <f>Data!AE403</f>
        <v>0</v>
      </c>
      <c r="AB403" s="20">
        <f>Data!AG403</f>
        <v>0</v>
      </c>
      <c r="AC403" s="20" t="str">
        <f>CONCATENATE(Data!AI403," ",Data!AJ403)</f>
        <v xml:space="preserve"> </v>
      </c>
    </row>
    <row r="404" spans="1:29" ht="15">
      <c r="A404" s="20" t="str">
        <f>Data!A404</f>
        <v>デモ機</v>
      </c>
      <c r="B404" s="20" t="str">
        <f>Data!C404</f>
        <v>Entire Organization</v>
      </c>
      <c r="C404" s="20" t="str">
        <f>IF(Data!E404=0,"",Data!E404)</f>
        <v/>
      </c>
      <c r="D404" s="26">
        <f t="shared" si="6"/>
        <v>42065.905555555553</v>
      </c>
      <c r="E404" s="27">
        <f>Data!F404</f>
        <v>42065.905555555553</v>
      </c>
      <c r="F404" s="20" t="str">
        <f>Data!G404</f>
        <v>DebugRecord</v>
      </c>
      <c r="G404" s="20">
        <f>Data!H404</f>
        <v>0</v>
      </c>
      <c r="H404" s="20">
        <f>Data!I404</f>
        <v>0</v>
      </c>
      <c r="I404" s="20">
        <f>Data!J404</f>
        <v>0</v>
      </c>
      <c r="J404" s="21" t="str">
        <f>IF(Data!K404=0,"",Data!K404)</f>
        <v/>
      </c>
      <c r="K404" s="22">
        <f>Data!L404</f>
        <v>0</v>
      </c>
      <c r="L404" s="21" t="str">
        <f>IF(Data!N404=0,"",Data!N404)</f>
        <v>IntermittentConnectionTestProtocolCanObd</v>
      </c>
      <c r="M404" s="20">
        <f>Data!O404</f>
        <v>0</v>
      </c>
      <c r="N404" s="20">
        <f>Data!P404</f>
        <v>0</v>
      </c>
      <c r="O404" s="20">
        <f>Data!Q404</f>
        <v>0</v>
      </c>
      <c r="P404" s="20">
        <f>Data!R404</f>
        <v>0</v>
      </c>
      <c r="Q404" s="20">
        <f>Data!S404</f>
        <v>0</v>
      </c>
      <c r="R404" s="20">
        <f>Data!T404</f>
        <v>0</v>
      </c>
      <c r="S404" s="20">
        <f>Data!U404</f>
        <v>0</v>
      </c>
      <c r="T404" s="20">
        <f>Data!V404</f>
        <v>0</v>
      </c>
      <c r="U404" s="20">
        <f>Data!W404</f>
        <v>0</v>
      </c>
      <c r="V404" s="20">
        <f>Data!X404</f>
        <v>0</v>
      </c>
      <c r="W404" s="20">
        <f>Data!Y404</f>
        <v>0</v>
      </c>
      <c r="X404" s="20">
        <f>Data!Z404</f>
        <v>0</v>
      </c>
      <c r="Y404" s="22" t="str">
        <f>Data!AL404</f>
        <v>630000000000000000000000000000</v>
      </c>
      <c r="Z404" s="20">
        <f>Data!AC404</f>
        <v>0</v>
      </c>
      <c r="AA404" s="20">
        <f>Data!AE404</f>
        <v>0</v>
      </c>
      <c r="AB404" s="20">
        <f>Data!AG404</f>
        <v>0</v>
      </c>
      <c r="AC404" s="20" t="str">
        <f>CONCATENATE(Data!AI404," ",Data!AJ404)</f>
        <v xml:space="preserve"> </v>
      </c>
    </row>
    <row r="405" spans="1:29" ht="15">
      <c r="A405" s="20" t="str">
        <f>Data!A405</f>
        <v>デモ機</v>
      </c>
      <c r="B405" s="20" t="str">
        <f>Data!C405</f>
        <v>Entire Organization</v>
      </c>
      <c r="C405" s="20" t="str">
        <f>IF(Data!E405=0,"",Data!E405)</f>
        <v/>
      </c>
      <c r="D405" s="26">
        <f t="shared" si="6"/>
        <v>42065.905578703707</v>
      </c>
      <c r="E405" s="27">
        <f>Data!F405</f>
        <v>42065.905578703707</v>
      </c>
      <c r="F405" s="20" t="str">
        <f>Data!G405</f>
        <v>GpsRecord</v>
      </c>
      <c r="G405" s="20">
        <f>Data!H405</f>
        <v>33</v>
      </c>
      <c r="H405" s="20">
        <f>Data!I405</f>
        <v>139.40514999999999</v>
      </c>
      <c r="I405" s="20">
        <f>Data!J405</f>
        <v>35.577829999999999</v>
      </c>
      <c r="J405" s="21" t="str">
        <f>IF(Data!K405=0,"",Data!K405)</f>
        <v>日本, 〒194-0214 東京都町田市矢部町１３−６</v>
      </c>
      <c r="K405" s="22">
        <f>Data!L405</f>
        <v>0</v>
      </c>
      <c r="L405" s="21" t="str">
        <f>IF(Data!N405=0,"",Data!N405)</f>
        <v>CurveSpeed</v>
      </c>
      <c r="M405" s="20" t="b">
        <f>Data!O405</f>
        <v>1</v>
      </c>
      <c r="N405" s="20" t="b">
        <f>Data!P405</f>
        <v>0</v>
      </c>
      <c r="O405" s="20" t="b">
        <f>Data!Q405</f>
        <v>0</v>
      </c>
      <c r="P405" s="20" t="b">
        <f>Data!R405</f>
        <v>0</v>
      </c>
      <c r="Q405" s="20" t="b">
        <f>Data!S405</f>
        <v>0</v>
      </c>
      <c r="R405" s="20" t="b">
        <f>Data!T405</f>
        <v>0</v>
      </c>
      <c r="S405" s="20" t="b">
        <f>Data!U405</f>
        <v>0</v>
      </c>
      <c r="T405" s="20" t="b">
        <f>Data!V405</f>
        <v>0</v>
      </c>
      <c r="U405" s="20" t="b">
        <f>Data!W405</f>
        <v>0</v>
      </c>
      <c r="V405" s="20" t="b">
        <f>Data!X405</f>
        <v>1</v>
      </c>
      <c r="W405" s="20" t="b">
        <f>Data!Y405</f>
        <v>1</v>
      </c>
      <c r="X405" s="20">
        <f>Data!Z405</f>
        <v>0</v>
      </c>
      <c r="Y405" s="22">
        <f>Data!AL405</f>
        <v>0</v>
      </c>
      <c r="Z405" s="20">
        <f>Data!AC405</f>
        <v>0</v>
      </c>
      <c r="AA405" s="20">
        <f>Data!AE405</f>
        <v>0</v>
      </c>
      <c r="AB405" s="20">
        <f>Data!AG405</f>
        <v>0</v>
      </c>
      <c r="AC405" s="20" t="str">
        <f>CONCATENATE(Data!AI405," ",Data!AJ405)</f>
        <v xml:space="preserve"> </v>
      </c>
    </row>
    <row r="406" spans="1:29" ht="15">
      <c r="A406" s="20" t="str">
        <f>Data!A406</f>
        <v>デモ機</v>
      </c>
      <c r="B406" s="20" t="str">
        <f>Data!C406</f>
        <v>Entire Organization</v>
      </c>
      <c r="C406" s="20" t="str">
        <f>IF(Data!E406=0,"",Data!E406)</f>
        <v/>
      </c>
      <c r="D406" s="26">
        <f t="shared" si="6"/>
        <v>42065.905624999999</v>
      </c>
      <c r="E406" s="27">
        <f>Data!F406</f>
        <v>42065.905624999999</v>
      </c>
      <c r="F406" s="20" t="str">
        <f>Data!G406</f>
        <v>DebugRecord</v>
      </c>
      <c r="G406" s="20">
        <f>Data!H406</f>
        <v>0</v>
      </c>
      <c r="H406" s="20">
        <f>Data!I406</f>
        <v>0</v>
      </c>
      <c r="I406" s="20">
        <f>Data!J406</f>
        <v>0</v>
      </c>
      <c r="J406" s="21" t="str">
        <f>IF(Data!K406=0,"",Data!K406)</f>
        <v/>
      </c>
      <c r="K406" s="22">
        <f>Data!L406</f>
        <v>0</v>
      </c>
      <c r="L406" s="21" t="str">
        <f>IF(Data!N406=0,"",Data!N406)</f>
        <v>IntermittentConnectionTestProtocolCanObd</v>
      </c>
      <c r="M406" s="20">
        <f>Data!O406</f>
        <v>0</v>
      </c>
      <c r="N406" s="20">
        <f>Data!P406</f>
        <v>0</v>
      </c>
      <c r="O406" s="20">
        <f>Data!Q406</f>
        <v>0</v>
      </c>
      <c r="P406" s="20">
        <f>Data!R406</f>
        <v>0</v>
      </c>
      <c r="Q406" s="20">
        <f>Data!S406</f>
        <v>0</v>
      </c>
      <c r="R406" s="20">
        <f>Data!T406</f>
        <v>0</v>
      </c>
      <c r="S406" s="20">
        <f>Data!U406</f>
        <v>0</v>
      </c>
      <c r="T406" s="20">
        <f>Data!V406</f>
        <v>0</v>
      </c>
      <c r="U406" s="20">
        <f>Data!W406</f>
        <v>0</v>
      </c>
      <c r="V406" s="20">
        <f>Data!X406</f>
        <v>0</v>
      </c>
      <c r="W406" s="20">
        <f>Data!Y406</f>
        <v>0</v>
      </c>
      <c r="X406" s="20">
        <f>Data!Z406</f>
        <v>0</v>
      </c>
      <c r="Y406" s="22" t="str">
        <f>Data!AL406</f>
        <v>640000000000000000000000000000</v>
      </c>
      <c r="Z406" s="20">
        <f>Data!AC406</f>
        <v>0</v>
      </c>
      <c r="AA406" s="20">
        <f>Data!AE406</f>
        <v>0</v>
      </c>
      <c r="AB406" s="20">
        <f>Data!AG406</f>
        <v>0</v>
      </c>
      <c r="AC406" s="20" t="str">
        <f>CONCATENATE(Data!AI406," ",Data!AJ406)</f>
        <v xml:space="preserve"> </v>
      </c>
    </row>
    <row r="407" spans="1:29" ht="15">
      <c r="A407" s="20" t="str">
        <f>Data!A407</f>
        <v>デモ機</v>
      </c>
      <c r="B407" s="20" t="str">
        <f>Data!C407</f>
        <v>Entire Organization</v>
      </c>
      <c r="C407" s="20" t="str">
        <f>IF(Data!E407=0,"",Data!E407)</f>
        <v/>
      </c>
      <c r="D407" s="26">
        <f t="shared" si="6"/>
        <v>42065.905627893517</v>
      </c>
      <c r="E407" s="27">
        <f>Data!F407</f>
        <v>42065.905627893517</v>
      </c>
      <c r="F407" s="20" t="str">
        <f>Data!G407</f>
        <v>DebugRecord</v>
      </c>
      <c r="G407" s="20">
        <f>Data!H407</f>
        <v>0</v>
      </c>
      <c r="H407" s="20">
        <f>Data!I407</f>
        <v>0</v>
      </c>
      <c r="I407" s="20">
        <f>Data!J407</f>
        <v>0</v>
      </c>
      <c r="J407" s="21" t="str">
        <f>IF(Data!K407=0,"",Data!K407)</f>
        <v/>
      </c>
      <c r="K407" s="22">
        <f>Data!L407</f>
        <v>0</v>
      </c>
      <c r="L407" s="21" t="str">
        <f>IF(Data!N407=0,"",Data!N407)</f>
        <v>DebugOdometerResponse</v>
      </c>
      <c r="M407" s="20">
        <f>Data!O407</f>
        <v>0</v>
      </c>
      <c r="N407" s="20">
        <f>Data!P407</f>
        <v>0</v>
      </c>
      <c r="O407" s="20">
        <f>Data!Q407</f>
        <v>0</v>
      </c>
      <c r="P407" s="20">
        <f>Data!R407</f>
        <v>0</v>
      </c>
      <c r="Q407" s="20">
        <f>Data!S407</f>
        <v>0</v>
      </c>
      <c r="R407" s="20">
        <f>Data!T407</f>
        <v>0</v>
      </c>
      <c r="S407" s="20">
        <f>Data!U407</f>
        <v>0</v>
      </c>
      <c r="T407" s="20">
        <f>Data!V407</f>
        <v>0</v>
      </c>
      <c r="U407" s="20">
        <f>Data!W407</f>
        <v>0</v>
      </c>
      <c r="V407" s="20">
        <f>Data!X407</f>
        <v>0</v>
      </c>
      <c r="W407" s="20">
        <f>Data!Y407</f>
        <v>0</v>
      </c>
      <c r="X407" s="20">
        <f>Data!Z407</f>
        <v>0</v>
      </c>
      <c r="Y407" s="22" t="str">
        <f>Data!AL407</f>
        <v>000080000000000000000000000000</v>
      </c>
      <c r="Z407" s="20">
        <f>Data!AC407</f>
        <v>0</v>
      </c>
      <c r="AA407" s="20">
        <f>Data!AE407</f>
        <v>0</v>
      </c>
      <c r="AB407" s="20">
        <f>Data!AG407</f>
        <v>0</v>
      </c>
      <c r="AC407" s="20" t="str">
        <f>CONCATENATE(Data!AI407," ",Data!AJ407)</f>
        <v xml:space="preserve"> </v>
      </c>
    </row>
    <row r="408" spans="1:29" ht="15">
      <c r="A408" s="20" t="str">
        <f>Data!A408</f>
        <v>デモ機</v>
      </c>
      <c r="B408" s="20" t="str">
        <f>Data!C408</f>
        <v>Entire Organization</v>
      </c>
      <c r="C408" s="20" t="str">
        <f>IF(Data!E408=0,"",Data!E408)</f>
        <v/>
      </c>
      <c r="D408" s="26">
        <f t="shared" si="6"/>
        <v>42065.905627974535</v>
      </c>
      <c r="E408" s="27">
        <f>Data!F408</f>
        <v>42065.905627974535</v>
      </c>
      <c r="F408" s="20" t="str">
        <f>Data!G408</f>
        <v>DebugRecord</v>
      </c>
      <c r="G408" s="20">
        <f>Data!H408</f>
        <v>0</v>
      </c>
      <c r="H408" s="20">
        <f>Data!I408</f>
        <v>0</v>
      </c>
      <c r="I408" s="20">
        <f>Data!J408</f>
        <v>0</v>
      </c>
      <c r="J408" s="21" t="str">
        <f>IF(Data!K408=0,"",Data!K408)</f>
        <v/>
      </c>
      <c r="K408" s="22">
        <f>Data!L408</f>
        <v>0</v>
      </c>
      <c r="L408" s="21" t="str">
        <f>IF(Data!N408=0,"",Data!N408)</f>
        <v>MaxValue</v>
      </c>
      <c r="M408" s="20">
        <f>Data!O408</f>
        <v>0</v>
      </c>
      <c r="N408" s="20">
        <f>Data!P408</f>
        <v>0</v>
      </c>
      <c r="O408" s="20">
        <f>Data!Q408</f>
        <v>0</v>
      </c>
      <c r="P408" s="20">
        <f>Data!R408</f>
        <v>0</v>
      </c>
      <c r="Q408" s="20">
        <f>Data!S408</f>
        <v>0</v>
      </c>
      <c r="R408" s="20">
        <f>Data!T408</f>
        <v>0</v>
      </c>
      <c r="S408" s="20">
        <f>Data!U408</f>
        <v>0</v>
      </c>
      <c r="T408" s="20">
        <f>Data!V408</f>
        <v>0</v>
      </c>
      <c r="U408" s="20">
        <f>Data!W408</f>
        <v>0</v>
      </c>
      <c r="V408" s="20">
        <f>Data!X408</f>
        <v>0</v>
      </c>
      <c r="W408" s="20">
        <f>Data!Y408</f>
        <v>0</v>
      </c>
      <c r="X408" s="20">
        <f>Data!Z408</f>
        <v>0</v>
      </c>
      <c r="Y408" s="22" t="str">
        <f>Data!AL408</f>
        <v>000000000000000000000000000000</v>
      </c>
      <c r="Z408" s="20">
        <f>Data!AC408</f>
        <v>0</v>
      </c>
      <c r="AA408" s="20">
        <f>Data!AE408</f>
        <v>0</v>
      </c>
      <c r="AB408" s="20">
        <f>Data!AG408</f>
        <v>0</v>
      </c>
      <c r="AC408" s="20" t="str">
        <f>CONCATENATE(Data!AI408," ",Data!AJ408)</f>
        <v xml:space="preserve"> </v>
      </c>
    </row>
    <row r="409" spans="1:29" ht="15">
      <c r="A409" s="20" t="str">
        <f>Data!A409</f>
        <v>デモ機</v>
      </c>
      <c r="B409" s="20" t="str">
        <f>Data!C409</f>
        <v>Entire Organization</v>
      </c>
      <c r="C409" s="20" t="str">
        <f>IF(Data!E409=0,"",Data!E409)</f>
        <v/>
      </c>
      <c r="D409" s="26">
        <f t="shared" si="6"/>
        <v>42065.905636574076</v>
      </c>
      <c r="E409" s="27">
        <f>Data!F409</f>
        <v>42065.905636574076</v>
      </c>
      <c r="F409" s="20" t="str">
        <f>Data!G409</f>
        <v>DebugRecord</v>
      </c>
      <c r="G409" s="20">
        <f>Data!H409</f>
        <v>0</v>
      </c>
      <c r="H409" s="20">
        <f>Data!I409</f>
        <v>0</v>
      </c>
      <c r="I409" s="20">
        <f>Data!J409</f>
        <v>0</v>
      </c>
      <c r="J409" s="21" t="str">
        <f>IF(Data!K409=0,"",Data!K409)</f>
        <v/>
      </c>
      <c r="K409" s="22">
        <f>Data!L409</f>
        <v>0</v>
      </c>
      <c r="L409" s="21" t="str">
        <f>IF(Data!N409=0,"",Data!N409)</f>
        <v>IntermittentConnectionTestProtocolCanObd</v>
      </c>
      <c r="M409" s="20">
        <f>Data!O409</f>
        <v>0</v>
      </c>
      <c r="N409" s="20">
        <f>Data!P409</f>
        <v>0</v>
      </c>
      <c r="O409" s="20">
        <f>Data!Q409</f>
        <v>0</v>
      </c>
      <c r="P409" s="20">
        <f>Data!R409</f>
        <v>0</v>
      </c>
      <c r="Q409" s="20">
        <f>Data!S409</f>
        <v>0</v>
      </c>
      <c r="R409" s="20">
        <f>Data!T409</f>
        <v>0</v>
      </c>
      <c r="S409" s="20">
        <f>Data!U409</f>
        <v>0</v>
      </c>
      <c r="T409" s="20">
        <f>Data!V409</f>
        <v>0</v>
      </c>
      <c r="U409" s="20">
        <f>Data!W409</f>
        <v>0</v>
      </c>
      <c r="V409" s="20">
        <f>Data!X409</f>
        <v>0</v>
      </c>
      <c r="W409" s="20">
        <f>Data!Y409</f>
        <v>0</v>
      </c>
      <c r="X409" s="20">
        <f>Data!Z409</f>
        <v>0</v>
      </c>
      <c r="Y409" s="22" t="str">
        <f>Data!AL409</f>
        <v>4A0000000000000000000000000000</v>
      </c>
      <c r="Z409" s="20">
        <f>Data!AC409</f>
        <v>0</v>
      </c>
      <c r="AA409" s="20">
        <f>Data!AE409</f>
        <v>0</v>
      </c>
      <c r="AB409" s="20">
        <f>Data!AG409</f>
        <v>0</v>
      </c>
      <c r="AC409" s="20" t="str">
        <f>CONCATENATE(Data!AI409," ",Data!AJ409)</f>
        <v xml:space="preserve"> </v>
      </c>
    </row>
    <row r="410" spans="1:29" ht="15">
      <c r="A410" s="20" t="str">
        <f>Data!A410</f>
        <v>デモ機</v>
      </c>
      <c r="B410" s="20" t="str">
        <f>Data!C410</f>
        <v>Entire Organization</v>
      </c>
      <c r="C410" s="20" t="str">
        <f>IF(Data!E410=0,"",Data!E410)</f>
        <v/>
      </c>
      <c r="D410" s="26">
        <f t="shared" si="6"/>
        <v>42065.905639201388</v>
      </c>
      <c r="E410" s="27">
        <f>Data!F410</f>
        <v>42065.905639201388</v>
      </c>
      <c r="F410" s="20" t="str">
        <f>Data!G410</f>
        <v>EngineStatusRecord</v>
      </c>
      <c r="G410" s="20">
        <f>Data!H410</f>
        <v>0</v>
      </c>
      <c r="H410" s="20">
        <f>Data!I410</f>
        <v>0</v>
      </c>
      <c r="I410" s="20">
        <f>Data!J410</f>
        <v>0</v>
      </c>
      <c r="J410" s="21" t="str">
        <f>IF(Data!K410=0,"",Data!K410)</f>
        <v/>
      </c>
      <c r="K410" s="22">
        <f>Data!L410</f>
        <v>0</v>
      </c>
      <c r="L410" s="21" t="str">
        <f>IF(Data!N410=0,"",Data!N410)</f>
        <v/>
      </c>
      <c r="M410" s="20">
        <f>Data!O410</f>
        <v>0</v>
      </c>
      <c r="N410" s="20">
        <f>Data!P410</f>
        <v>0</v>
      </c>
      <c r="O410" s="20">
        <f>Data!Q410</f>
        <v>0</v>
      </c>
      <c r="P410" s="20">
        <f>Data!R410</f>
        <v>0</v>
      </c>
      <c r="Q410" s="20">
        <f>Data!S410</f>
        <v>0</v>
      </c>
      <c r="R410" s="20">
        <f>Data!T410</f>
        <v>0</v>
      </c>
      <c r="S410" s="20">
        <f>Data!U410</f>
        <v>0</v>
      </c>
      <c r="T410" s="20">
        <f>Data!V410</f>
        <v>0</v>
      </c>
      <c r="U410" s="20">
        <f>Data!W410</f>
        <v>0</v>
      </c>
      <c r="V410" s="20">
        <f>Data!X410</f>
        <v>0</v>
      </c>
      <c r="W410" s="20">
        <f>Data!Y410</f>
        <v>0</v>
      </c>
      <c r="X410" s="20">
        <f>Data!Z410</f>
        <v>0</v>
      </c>
      <c r="Y410" s="22">
        <f>Data!AL410</f>
        <v>0</v>
      </c>
      <c r="Z410" s="20" t="str">
        <f>Data!AC410</f>
        <v>Parking brake (1=on)</v>
      </c>
      <c r="AA410" s="20" t="str">
        <f>Data!AE410</f>
        <v/>
      </c>
      <c r="AB410" s="20">
        <f>Data!AG410</f>
        <v>0</v>
      </c>
      <c r="AC410" s="20" t="str">
        <f>CONCATENATE(Data!AI410," ",Data!AJ410)</f>
        <v xml:space="preserve">0 </v>
      </c>
    </row>
    <row r="411" spans="1:29" ht="15">
      <c r="A411" s="20" t="str">
        <f>Data!A411</f>
        <v>デモ機</v>
      </c>
      <c r="B411" s="20" t="str">
        <f>Data!C411</f>
        <v>Entire Organization</v>
      </c>
      <c r="C411" s="20" t="str">
        <f>IF(Data!E411=0,"",Data!E411)</f>
        <v/>
      </c>
      <c r="D411" s="26">
        <f t="shared" si="6"/>
        <v>42065.905659722222</v>
      </c>
      <c r="E411" s="27">
        <f>Data!F411</f>
        <v>42065.905659722222</v>
      </c>
      <c r="F411" s="20" t="str">
        <f>Data!G411</f>
        <v>DebugRecord</v>
      </c>
      <c r="G411" s="20">
        <f>Data!H411</f>
        <v>0</v>
      </c>
      <c r="H411" s="20">
        <f>Data!I411</f>
        <v>0</v>
      </c>
      <c r="I411" s="20">
        <f>Data!J411</f>
        <v>0</v>
      </c>
      <c r="J411" s="21" t="str">
        <f>IF(Data!K411=0,"",Data!K411)</f>
        <v/>
      </c>
      <c r="K411" s="22">
        <f>Data!L411</f>
        <v>0</v>
      </c>
      <c r="L411" s="21" t="str">
        <f>IF(Data!N411=0,"",Data!N411)</f>
        <v>IntermittentConnectionTestProtocolCanObd</v>
      </c>
      <c r="M411" s="20">
        <f>Data!O411</f>
        <v>0</v>
      </c>
      <c r="N411" s="20">
        <f>Data!P411</f>
        <v>0</v>
      </c>
      <c r="O411" s="20">
        <f>Data!Q411</f>
        <v>0</v>
      </c>
      <c r="P411" s="20">
        <f>Data!R411</f>
        <v>0</v>
      </c>
      <c r="Q411" s="20">
        <f>Data!S411</f>
        <v>0</v>
      </c>
      <c r="R411" s="20">
        <f>Data!T411</f>
        <v>0</v>
      </c>
      <c r="S411" s="20">
        <f>Data!U411</f>
        <v>0</v>
      </c>
      <c r="T411" s="20">
        <f>Data!V411</f>
        <v>0</v>
      </c>
      <c r="U411" s="20">
        <f>Data!W411</f>
        <v>0</v>
      </c>
      <c r="V411" s="20">
        <f>Data!X411</f>
        <v>0</v>
      </c>
      <c r="W411" s="20">
        <f>Data!Y411</f>
        <v>0</v>
      </c>
      <c r="X411" s="20">
        <f>Data!Z411</f>
        <v>0</v>
      </c>
      <c r="Y411" s="22" t="str">
        <f>Data!AL411</f>
        <v>640000000000000000000000000000</v>
      </c>
      <c r="Z411" s="20">
        <f>Data!AC411</f>
        <v>0</v>
      </c>
      <c r="AA411" s="20">
        <f>Data!AE411</f>
        <v>0</v>
      </c>
      <c r="AB411" s="20">
        <f>Data!AG411</f>
        <v>0</v>
      </c>
      <c r="AC411" s="20" t="str">
        <f>CONCATENATE(Data!AI411," ",Data!AJ411)</f>
        <v xml:space="preserve"> </v>
      </c>
    </row>
    <row r="412" spans="1:29" ht="15">
      <c r="A412" s="20" t="str">
        <f>Data!A412</f>
        <v>デモ機</v>
      </c>
      <c r="B412" s="20" t="str">
        <f>Data!C412</f>
        <v>Entire Organization</v>
      </c>
      <c r="C412" s="20" t="str">
        <f>IF(Data!E412=0,"",Data!E412)</f>
        <v/>
      </c>
      <c r="D412" s="26">
        <f t="shared" si="6"/>
        <v>42065.905682870369</v>
      </c>
      <c r="E412" s="27">
        <f>Data!F412</f>
        <v>42065.905682870369</v>
      </c>
      <c r="F412" s="20" t="str">
        <f>Data!G412</f>
        <v>DebugRecord</v>
      </c>
      <c r="G412" s="20">
        <f>Data!H412</f>
        <v>0</v>
      </c>
      <c r="H412" s="20">
        <f>Data!I412</f>
        <v>0</v>
      </c>
      <c r="I412" s="20">
        <f>Data!J412</f>
        <v>0</v>
      </c>
      <c r="J412" s="21" t="str">
        <f>IF(Data!K412=0,"",Data!K412)</f>
        <v/>
      </c>
      <c r="K412" s="22">
        <f>Data!L412</f>
        <v>0</v>
      </c>
      <c r="L412" s="21" t="str">
        <f>IF(Data!N412=0,"",Data!N412)</f>
        <v>IntermittentConnectionTestProtocolCanObd</v>
      </c>
      <c r="M412" s="20">
        <f>Data!O412</f>
        <v>0</v>
      </c>
      <c r="N412" s="20">
        <f>Data!P412</f>
        <v>0</v>
      </c>
      <c r="O412" s="20">
        <f>Data!Q412</f>
        <v>0</v>
      </c>
      <c r="P412" s="20">
        <f>Data!R412</f>
        <v>0</v>
      </c>
      <c r="Q412" s="20">
        <f>Data!S412</f>
        <v>0</v>
      </c>
      <c r="R412" s="20">
        <f>Data!T412</f>
        <v>0</v>
      </c>
      <c r="S412" s="20">
        <f>Data!U412</f>
        <v>0</v>
      </c>
      <c r="T412" s="20">
        <f>Data!V412</f>
        <v>0</v>
      </c>
      <c r="U412" s="20">
        <f>Data!W412</f>
        <v>0</v>
      </c>
      <c r="V412" s="20">
        <f>Data!X412</f>
        <v>0</v>
      </c>
      <c r="W412" s="20">
        <f>Data!Y412</f>
        <v>0</v>
      </c>
      <c r="X412" s="20">
        <f>Data!Z412</f>
        <v>0</v>
      </c>
      <c r="Y412" s="22" t="str">
        <f>Data!AL412</f>
        <v>640000000000000000000000000000</v>
      </c>
      <c r="Z412" s="20">
        <f>Data!AC412</f>
        <v>0</v>
      </c>
      <c r="AA412" s="20">
        <f>Data!AE412</f>
        <v>0</v>
      </c>
      <c r="AB412" s="20">
        <f>Data!AG412</f>
        <v>0</v>
      </c>
      <c r="AC412" s="20" t="str">
        <f>CONCATENATE(Data!AI412," ",Data!AJ412)</f>
        <v xml:space="preserve"> </v>
      </c>
    </row>
    <row r="413" spans="1:29" ht="15">
      <c r="A413" s="20" t="str">
        <f>Data!A413</f>
        <v>デモ機</v>
      </c>
      <c r="B413" s="20" t="str">
        <f>Data!C413</f>
        <v>Entire Organization</v>
      </c>
      <c r="C413" s="20" t="str">
        <f>IF(Data!E413=0,"",Data!E413)</f>
        <v/>
      </c>
      <c r="D413" s="26">
        <f t="shared" si="6"/>
        <v>42065.905706018515</v>
      </c>
      <c r="E413" s="27">
        <f>Data!F413</f>
        <v>42065.905706018515</v>
      </c>
      <c r="F413" s="20" t="str">
        <f>Data!G413</f>
        <v>GpsRecord</v>
      </c>
      <c r="G413" s="20">
        <f>Data!H413</f>
        <v>0</v>
      </c>
      <c r="H413" s="20">
        <f>Data!I413</f>
        <v>139.40468000000001</v>
      </c>
      <c r="I413" s="20">
        <f>Data!J413</f>
        <v>35.57752</v>
      </c>
      <c r="J413" s="21" t="str">
        <f>IF(Data!K413=0,"",Data!K413)</f>
        <v>日本, 〒194-0214 東京都町田市矢部町１２−１</v>
      </c>
      <c r="K413" s="22">
        <f>Data!L413</f>
        <v>0</v>
      </c>
      <c r="L413" s="21" t="str">
        <f>IF(Data!N413=0,"",Data!N413)</f>
        <v>CurveZeroSpeed</v>
      </c>
      <c r="M413" s="20" t="b">
        <f>Data!O413</f>
        <v>1</v>
      </c>
      <c r="N413" s="20" t="b">
        <f>Data!P413</f>
        <v>0</v>
      </c>
      <c r="O413" s="20" t="b">
        <f>Data!Q413</f>
        <v>0</v>
      </c>
      <c r="P413" s="20" t="b">
        <f>Data!R413</f>
        <v>0</v>
      </c>
      <c r="Q413" s="20" t="b">
        <f>Data!S413</f>
        <v>0</v>
      </c>
      <c r="R413" s="20" t="b">
        <f>Data!T413</f>
        <v>0</v>
      </c>
      <c r="S413" s="20" t="b">
        <f>Data!U413</f>
        <v>0</v>
      </c>
      <c r="T413" s="20" t="b">
        <f>Data!V413</f>
        <v>0</v>
      </c>
      <c r="U413" s="20" t="b">
        <f>Data!W413</f>
        <v>0</v>
      </c>
      <c r="V413" s="20" t="b">
        <f>Data!X413</f>
        <v>1</v>
      </c>
      <c r="W413" s="20" t="b">
        <f>Data!Y413</f>
        <v>1</v>
      </c>
      <c r="X413" s="20">
        <f>Data!Z413</f>
        <v>0</v>
      </c>
      <c r="Y413" s="22">
        <f>Data!AL413</f>
        <v>0</v>
      </c>
      <c r="Z413" s="20">
        <f>Data!AC413</f>
        <v>0</v>
      </c>
      <c r="AA413" s="20">
        <f>Data!AE413</f>
        <v>0</v>
      </c>
      <c r="AB413" s="20">
        <f>Data!AG413</f>
        <v>0</v>
      </c>
      <c r="AC413" s="20" t="str">
        <f>CONCATENATE(Data!AI413," ",Data!AJ413)</f>
        <v xml:space="preserve"> </v>
      </c>
    </row>
    <row r="414" spans="1:29" ht="15">
      <c r="A414" s="20" t="str">
        <f>Data!A414</f>
        <v>デモ機</v>
      </c>
      <c r="B414" s="20" t="str">
        <f>Data!C414</f>
        <v>Entire Organization</v>
      </c>
      <c r="C414" s="20" t="str">
        <f>IF(Data!E414=0,"",Data!E414)</f>
        <v/>
      </c>
      <c r="D414" s="26">
        <f t="shared" si="6"/>
        <v>42065.905740740738</v>
      </c>
      <c r="E414" s="27">
        <f>Data!F414</f>
        <v>42065.905740740738</v>
      </c>
      <c r="F414" s="20" t="str">
        <f>Data!G414</f>
        <v>GpsRecord</v>
      </c>
      <c r="G414" s="20">
        <f>Data!H414</f>
        <v>2</v>
      </c>
      <c r="H414" s="20">
        <f>Data!I414</f>
        <v>139.40468000000001</v>
      </c>
      <c r="I414" s="20">
        <f>Data!J414</f>
        <v>35.57752</v>
      </c>
      <c r="J414" s="21" t="str">
        <f>IF(Data!K414=0,"",Data!K414)</f>
        <v>日本, 〒194-0214 東京都町田市矢部町１２−１</v>
      </c>
      <c r="K414" s="22">
        <f>Data!L414</f>
        <v>0</v>
      </c>
      <c r="L414" s="21" t="str">
        <f>IF(Data!N414=0,"",Data!N414)</f>
        <v>CurveZeroSpeed</v>
      </c>
      <c r="M414" s="20" t="b">
        <f>Data!O414</f>
        <v>1</v>
      </c>
      <c r="N414" s="20" t="b">
        <f>Data!P414</f>
        <v>0</v>
      </c>
      <c r="O414" s="20" t="b">
        <f>Data!Q414</f>
        <v>0</v>
      </c>
      <c r="P414" s="20" t="b">
        <f>Data!R414</f>
        <v>0</v>
      </c>
      <c r="Q414" s="20" t="b">
        <f>Data!S414</f>
        <v>0</v>
      </c>
      <c r="R414" s="20" t="b">
        <f>Data!T414</f>
        <v>0</v>
      </c>
      <c r="S414" s="20" t="b">
        <f>Data!U414</f>
        <v>0</v>
      </c>
      <c r="T414" s="20" t="b">
        <f>Data!V414</f>
        <v>0</v>
      </c>
      <c r="U414" s="20" t="b">
        <f>Data!W414</f>
        <v>0</v>
      </c>
      <c r="V414" s="20" t="b">
        <f>Data!X414</f>
        <v>1</v>
      </c>
      <c r="W414" s="20" t="b">
        <f>Data!Y414</f>
        <v>1</v>
      </c>
      <c r="X414" s="20">
        <f>Data!Z414</f>
        <v>0</v>
      </c>
      <c r="Y414" s="22">
        <f>Data!AL414</f>
        <v>0</v>
      </c>
      <c r="Z414" s="20">
        <f>Data!AC414</f>
        <v>0</v>
      </c>
      <c r="AA414" s="20">
        <f>Data!AE414</f>
        <v>0</v>
      </c>
      <c r="AB414" s="20">
        <f>Data!AG414</f>
        <v>0</v>
      </c>
      <c r="AC414" s="20" t="str">
        <f>CONCATENATE(Data!AI414," ",Data!AJ414)</f>
        <v xml:space="preserve"> </v>
      </c>
    </row>
    <row r="415" spans="1:29" ht="15">
      <c r="A415" s="20" t="str">
        <f>Data!A415</f>
        <v>デモ機</v>
      </c>
      <c r="B415" s="20" t="str">
        <f>Data!C415</f>
        <v>Entire Organization</v>
      </c>
      <c r="C415" s="20" t="str">
        <f>IF(Data!E415=0,"",Data!E415)</f>
        <v/>
      </c>
      <c r="D415" s="26">
        <f t="shared" si="6"/>
        <v>42065.905740821756</v>
      </c>
      <c r="E415" s="27">
        <f>Data!F415</f>
        <v>42065.905740821756</v>
      </c>
      <c r="F415" s="20" t="str">
        <f>Data!G415</f>
        <v>EngineStatusRecord</v>
      </c>
      <c r="G415" s="20">
        <f>Data!H415</f>
        <v>0</v>
      </c>
      <c r="H415" s="20">
        <f>Data!I415</f>
        <v>0</v>
      </c>
      <c r="I415" s="20">
        <f>Data!J415</f>
        <v>0</v>
      </c>
      <c r="J415" s="21" t="str">
        <f>IF(Data!K415=0,"",Data!K415)</f>
        <v/>
      </c>
      <c r="K415" s="22">
        <f>Data!L415</f>
        <v>0</v>
      </c>
      <c r="L415" s="21" t="str">
        <f>IF(Data!N415=0,"",Data!N415)</f>
        <v/>
      </c>
      <c r="M415" s="20">
        <f>Data!O415</f>
        <v>0</v>
      </c>
      <c r="N415" s="20">
        <f>Data!P415</f>
        <v>0</v>
      </c>
      <c r="O415" s="20">
        <f>Data!Q415</f>
        <v>0</v>
      </c>
      <c r="P415" s="20">
        <f>Data!R415</f>
        <v>0</v>
      </c>
      <c r="Q415" s="20">
        <f>Data!S415</f>
        <v>0</v>
      </c>
      <c r="R415" s="20">
        <f>Data!T415</f>
        <v>0</v>
      </c>
      <c r="S415" s="20">
        <f>Data!U415</f>
        <v>0</v>
      </c>
      <c r="T415" s="20">
        <f>Data!V415</f>
        <v>0</v>
      </c>
      <c r="U415" s="20">
        <f>Data!W415</f>
        <v>0</v>
      </c>
      <c r="V415" s="20">
        <f>Data!X415</f>
        <v>0</v>
      </c>
      <c r="W415" s="20">
        <f>Data!Y415</f>
        <v>0</v>
      </c>
      <c r="X415" s="20">
        <f>Data!Z415</f>
        <v>0</v>
      </c>
      <c r="Y415" s="22">
        <f>Data!AL415</f>
        <v>0</v>
      </c>
      <c r="Z415" s="20" t="str">
        <f>Data!AC415</f>
        <v>Engine RPM</v>
      </c>
      <c r="AA415" s="20" t="str">
        <f>Data!AE415</f>
        <v/>
      </c>
      <c r="AB415" s="20">
        <f>Data!AG415</f>
        <v>0</v>
      </c>
      <c r="AC415" s="20" t="str">
        <f>CONCATENATE(Data!AI415," ",Data!AJ415)</f>
        <v>734.25 RPM</v>
      </c>
    </row>
    <row r="416" spans="1:29" ht="15">
      <c r="A416" s="20" t="str">
        <f>Data!A416</f>
        <v>デモ機</v>
      </c>
      <c r="B416" s="20" t="str">
        <f>Data!C416</f>
        <v>Entire Organization</v>
      </c>
      <c r="C416" s="20" t="str">
        <f>IF(Data!E416=0,"",Data!E416)</f>
        <v/>
      </c>
      <c r="D416" s="26">
        <f t="shared" si="6"/>
        <v>42065.905775694446</v>
      </c>
      <c r="E416" s="27">
        <f>Data!F416</f>
        <v>42065.905775694446</v>
      </c>
      <c r="F416" s="20" t="str">
        <f>Data!G416</f>
        <v>EngineStatusRecord</v>
      </c>
      <c r="G416" s="20">
        <f>Data!H416</f>
        <v>0</v>
      </c>
      <c r="H416" s="20">
        <f>Data!I416</f>
        <v>0</v>
      </c>
      <c r="I416" s="20">
        <f>Data!J416</f>
        <v>0</v>
      </c>
      <c r="J416" s="21" t="str">
        <f>IF(Data!K416=0,"",Data!K416)</f>
        <v/>
      </c>
      <c r="K416" s="22">
        <f>Data!L416</f>
        <v>0</v>
      </c>
      <c r="L416" s="21" t="str">
        <f>IF(Data!N416=0,"",Data!N416)</f>
        <v/>
      </c>
      <c r="M416" s="20">
        <f>Data!O416</f>
        <v>0</v>
      </c>
      <c r="N416" s="20">
        <f>Data!P416</f>
        <v>0</v>
      </c>
      <c r="O416" s="20">
        <f>Data!Q416</f>
        <v>0</v>
      </c>
      <c r="P416" s="20">
        <f>Data!R416</f>
        <v>0</v>
      </c>
      <c r="Q416" s="20">
        <f>Data!S416</f>
        <v>0</v>
      </c>
      <c r="R416" s="20">
        <f>Data!T416</f>
        <v>0</v>
      </c>
      <c r="S416" s="20">
        <f>Data!U416</f>
        <v>0</v>
      </c>
      <c r="T416" s="20">
        <f>Data!V416</f>
        <v>0</v>
      </c>
      <c r="U416" s="20">
        <f>Data!W416</f>
        <v>0</v>
      </c>
      <c r="V416" s="20">
        <f>Data!X416</f>
        <v>0</v>
      </c>
      <c r="W416" s="20">
        <f>Data!Y416</f>
        <v>0</v>
      </c>
      <c r="X416" s="20">
        <f>Data!Z416</f>
        <v>0</v>
      </c>
      <c r="Y416" s="22">
        <f>Data!AL416</f>
        <v>0</v>
      </c>
      <c r="Z416" s="20" t="str">
        <f>Data!AC416</f>
        <v>Engine RPM</v>
      </c>
      <c r="AA416" s="20" t="str">
        <f>Data!AE416</f>
        <v/>
      </c>
      <c r="AB416" s="20">
        <f>Data!AG416</f>
        <v>0</v>
      </c>
      <c r="AC416" s="20" t="str">
        <f>CONCATENATE(Data!AI416," ",Data!AJ416)</f>
        <v>1820.75 RPM</v>
      </c>
    </row>
    <row r="417" spans="1:29" ht="15">
      <c r="A417" s="20" t="str">
        <f>Data!A417</f>
        <v>デモ機</v>
      </c>
      <c r="B417" s="20" t="str">
        <f>Data!C417</f>
        <v>Entire Organization</v>
      </c>
      <c r="C417" s="20" t="str">
        <f>IF(Data!E417=0,"",Data!E417)</f>
        <v/>
      </c>
      <c r="D417" s="26">
        <f t="shared" si="6"/>
        <v>42065.905810266202</v>
      </c>
      <c r="E417" s="27">
        <f>Data!F417</f>
        <v>42065.905810266202</v>
      </c>
      <c r="F417" s="20" t="str">
        <f>Data!G417</f>
        <v>EngineStatusRecord</v>
      </c>
      <c r="G417" s="20">
        <f>Data!H417</f>
        <v>0</v>
      </c>
      <c r="H417" s="20">
        <f>Data!I417</f>
        <v>0</v>
      </c>
      <c r="I417" s="20">
        <f>Data!J417</f>
        <v>0</v>
      </c>
      <c r="J417" s="21" t="str">
        <f>IF(Data!K417=0,"",Data!K417)</f>
        <v/>
      </c>
      <c r="K417" s="22">
        <f>Data!L417</f>
        <v>0</v>
      </c>
      <c r="L417" s="21" t="str">
        <f>IF(Data!N417=0,"",Data!N417)</f>
        <v/>
      </c>
      <c r="M417" s="20">
        <f>Data!O417</f>
        <v>0</v>
      </c>
      <c r="N417" s="20">
        <f>Data!P417</f>
        <v>0</v>
      </c>
      <c r="O417" s="20">
        <f>Data!Q417</f>
        <v>0</v>
      </c>
      <c r="P417" s="20">
        <f>Data!R417</f>
        <v>0</v>
      </c>
      <c r="Q417" s="20">
        <f>Data!S417</f>
        <v>0</v>
      </c>
      <c r="R417" s="20">
        <f>Data!T417</f>
        <v>0</v>
      </c>
      <c r="S417" s="20">
        <f>Data!U417</f>
        <v>0</v>
      </c>
      <c r="T417" s="20">
        <f>Data!V417</f>
        <v>0</v>
      </c>
      <c r="U417" s="20">
        <f>Data!W417</f>
        <v>0</v>
      </c>
      <c r="V417" s="20">
        <f>Data!X417</f>
        <v>0</v>
      </c>
      <c r="W417" s="20">
        <f>Data!Y417</f>
        <v>0</v>
      </c>
      <c r="X417" s="20">
        <f>Data!Z417</f>
        <v>0</v>
      </c>
      <c r="Y417" s="22">
        <f>Data!AL417</f>
        <v>0</v>
      </c>
      <c r="Z417" s="20" t="str">
        <f>Data!AC417</f>
        <v>Engine RPM</v>
      </c>
      <c r="AA417" s="20" t="str">
        <f>Data!AE417</f>
        <v/>
      </c>
      <c r="AB417" s="20">
        <f>Data!AG417</f>
        <v>0</v>
      </c>
      <c r="AC417" s="20" t="str">
        <f>CONCATENATE(Data!AI417," ",Data!AJ417)</f>
        <v>1128.75 RPM</v>
      </c>
    </row>
    <row r="418" spans="1:29" ht="15">
      <c r="A418" s="20" t="str">
        <f>Data!A418</f>
        <v>デモ機</v>
      </c>
      <c r="B418" s="20" t="str">
        <f>Data!C418</f>
        <v>Entire Organization</v>
      </c>
      <c r="C418" s="20" t="str">
        <f>IF(Data!E418=0,"",Data!E418)</f>
        <v/>
      </c>
      <c r="D418" s="26">
        <f t="shared" si="6"/>
        <v>42065.905902777777</v>
      </c>
      <c r="E418" s="27">
        <f>Data!F418</f>
        <v>42065.905902777777</v>
      </c>
      <c r="F418" s="20" t="str">
        <f>Data!G418</f>
        <v>GpsRecord</v>
      </c>
      <c r="G418" s="20">
        <f>Data!H418</f>
        <v>41</v>
      </c>
      <c r="H418" s="20">
        <f>Data!I418</f>
        <v>139.40385000000001</v>
      </c>
      <c r="I418" s="20">
        <f>Data!J418</f>
        <v>35.577010000000001</v>
      </c>
      <c r="J418" s="21" t="str">
        <f>IF(Data!K418=0,"",Data!K418)</f>
        <v>日本, 〒194-0214 東京都町田市矢部町７−４</v>
      </c>
      <c r="K418" s="22">
        <f>Data!L418</f>
        <v>0</v>
      </c>
      <c r="L418" s="21" t="str">
        <f>IF(Data!N418=0,"",Data!N418)</f>
        <v>CurveSpeed</v>
      </c>
      <c r="M418" s="20" t="b">
        <f>Data!O418</f>
        <v>1</v>
      </c>
      <c r="N418" s="20" t="b">
        <f>Data!P418</f>
        <v>0</v>
      </c>
      <c r="O418" s="20" t="b">
        <f>Data!Q418</f>
        <v>0</v>
      </c>
      <c r="P418" s="20" t="b">
        <f>Data!R418</f>
        <v>0</v>
      </c>
      <c r="Q418" s="20" t="b">
        <f>Data!S418</f>
        <v>0</v>
      </c>
      <c r="R418" s="20" t="b">
        <f>Data!T418</f>
        <v>0</v>
      </c>
      <c r="S418" s="20" t="b">
        <f>Data!U418</f>
        <v>0</v>
      </c>
      <c r="T418" s="20" t="b">
        <f>Data!V418</f>
        <v>0</v>
      </c>
      <c r="U418" s="20" t="b">
        <f>Data!W418</f>
        <v>0</v>
      </c>
      <c r="V418" s="20" t="b">
        <f>Data!X418</f>
        <v>1</v>
      </c>
      <c r="W418" s="20" t="b">
        <f>Data!Y418</f>
        <v>1</v>
      </c>
      <c r="X418" s="20">
        <f>Data!Z418</f>
        <v>0</v>
      </c>
      <c r="Y418" s="22">
        <f>Data!AL418</f>
        <v>0</v>
      </c>
      <c r="Z418" s="20">
        <f>Data!AC418</f>
        <v>0</v>
      </c>
      <c r="AA418" s="20">
        <f>Data!AE418</f>
        <v>0</v>
      </c>
      <c r="AB418" s="20">
        <f>Data!AG418</f>
        <v>0</v>
      </c>
      <c r="AC418" s="20" t="str">
        <f>CONCATENATE(Data!AI418," ",Data!AJ418)</f>
        <v xml:space="preserve"> </v>
      </c>
    </row>
    <row r="419" spans="1:29" ht="15">
      <c r="A419" s="20" t="str">
        <f>Data!A419</f>
        <v>デモ機</v>
      </c>
      <c r="B419" s="20" t="str">
        <f>Data!C419</f>
        <v>Entire Organization</v>
      </c>
      <c r="C419" s="20" t="str">
        <f>IF(Data!E419=0,"",Data!E419)</f>
        <v/>
      </c>
      <c r="D419" s="26">
        <f t="shared" si="6"/>
        <v>42065.905972222223</v>
      </c>
      <c r="E419" s="27">
        <f>Data!F419</f>
        <v>42065.905972222223</v>
      </c>
      <c r="F419" s="20" t="str">
        <f>Data!G419</f>
        <v>GpsRecord</v>
      </c>
      <c r="G419" s="20">
        <f>Data!H419</f>
        <v>37</v>
      </c>
      <c r="H419" s="20">
        <f>Data!I419</f>
        <v>139.40325999999999</v>
      </c>
      <c r="I419" s="20">
        <f>Data!J419</f>
        <v>35.576630000000002</v>
      </c>
      <c r="J419" s="21" t="str">
        <f>IF(Data!K419=0,"",Data!K419)</f>
        <v>日本, 〒194-0214 東京都町田市矢部町５−５</v>
      </c>
      <c r="K419" s="22">
        <f>Data!L419</f>
        <v>0</v>
      </c>
      <c r="L419" s="21" t="str">
        <f>IF(Data!N419=0,"",Data!N419)</f>
        <v>CurveTimeOut</v>
      </c>
      <c r="M419" s="20" t="b">
        <f>Data!O419</f>
        <v>1</v>
      </c>
      <c r="N419" s="20" t="b">
        <f>Data!P419</f>
        <v>0</v>
      </c>
      <c r="O419" s="20" t="b">
        <f>Data!Q419</f>
        <v>0</v>
      </c>
      <c r="P419" s="20" t="b">
        <f>Data!R419</f>
        <v>0</v>
      </c>
      <c r="Q419" s="20" t="b">
        <f>Data!S419</f>
        <v>0</v>
      </c>
      <c r="R419" s="20" t="b">
        <f>Data!T419</f>
        <v>0</v>
      </c>
      <c r="S419" s="20" t="b">
        <f>Data!U419</f>
        <v>0</v>
      </c>
      <c r="T419" s="20" t="b">
        <f>Data!V419</f>
        <v>0</v>
      </c>
      <c r="U419" s="20" t="b">
        <f>Data!W419</f>
        <v>0</v>
      </c>
      <c r="V419" s="20" t="b">
        <f>Data!X419</f>
        <v>1</v>
      </c>
      <c r="W419" s="20" t="b">
        <f>Data!Y419</f>
        <v>1</v>
      </c>
      <c r="X419" s="20">
        <f>Data!Z419</f>
        <v>0</v>
      </c>
      <c r="Y419" s="22">
        <f>Data!AL419</f>
        <v>0</v>
      </c>
      <c r="Z419" s="20">
        <f>Data!AC419</f>
        <v>0</v>
      </c>
      <c r="AA419" s="20">
        <f>Data!AE419</f>
        <v>0</v>
      </c>
      <c r="AB419" s="20">
        <f>Data!AG419</f>
        <v>0</v>
      </c>
      <c r="AC419" s="20" t="str">
        <f>CONCATENATE(Data!AI419," ",Data!AJ419)</f>
        <v xml:space="preserve"> </v>
      </c>
    </row>
    <row r="420" spans="1:29" ht="15">
      <c r="A420" s="20" t="str">
        <f>Data!A420</f>
        <v>デモ機</v>
      </c>
      <c r="B420" s="20" t="str">
        <f>Data!C420</f>
        <v>Entire Organization</v>
      </c>
      <c r="C420" s="20" t="str">
        <f>IF(Data!E420=0,"",Data!E420)</f>
        <v/>
      </c>
      <c r="D420" s="26">
        <f t="shared" si="6"/>
        <v>42065.906000659721</v>
      </c>
      <c r="E420" s="27">
        <f>Data!F420</f>
        <v>42065.906000659721</v>
      </c>
      <c r="F420" s="20" t="str">
        <f>Data!G420</f>
        <v>EngineStatusRecord</v>
      </c>
      <c r="G420" s="20">
        <f>Data!H420</f>
        <v>0</v>
      </c>
      <c r="H420" s="20">
        <f>Data!I420</f>
        <v>0</v>
      </c>
      <c r="I420" s="20">
        <f>Data!J420</f>
        <v>0</v>
      </c>
      <c r="J420" s="21" t="str">
        <f>IF(Data!K420=0,"",Data!K420)</f>
        <v/>
      </c>
      <c r="K420" s="22">
        <f>Data!L420</f>
        <v>0</v>
      </c>
      <c r="L420" s="21" t="str">
        <f>IF(Data!N420=0,"",Data!N420)</f>
        <v/>
      </c>
      <c r="M420" s="20">
        <f>Data!O420</f>
        <v>0</v>
      </c>
      <c r="N420" s="20">
        <f>Data!P420</f>
        <v>0</v>
      </c>
      <c r="O420" s="20">
        <f>Data!Q420</f>
        <v>0</v>
      </c>
      <c r="P420" s="20">
        <f>Data!R420</f>
        <v>0</v>
      </c>
      <c r="Q420" s="20">
        <f>Data!S420</f>
        <v>0</v>
      </c>
      <c r="R420" s="20">
        <f>Data!T420</f>
        <v>0</v>
      </c>
      <c r="S420" s="20">
        <f>Data!U420</f>
        <v>0</v>
      </c>
      <c r="T420" s="20">
        <f>Data!V420</f>
        <v>0</v>
      </c>
      <c r="U420" s="20">
        <f>Data!W420</f>
        <v>0</v>
      </c>
      <c r="V420" s="20">
        <f>Data!X420</f>
        <v>0</v>
      </c>
      <c r="W420" s="20">
        <f>Data!Y420</f>
        <v>0</v>
      </c>
      <c r="X420" s="20">
        <f>Data!Z420</f>
        <v>0</v>
      </c>
      <c r="Y420" s="22">
        <f>Data!AL420</f>
        <v>0</v>
      </c>
      <c r="Z420" s="20" t="str">
        <f>Data!AC420</f>
        <v>Engine coolant temperature</v>
      </c>
      <c r="AA420" s="20" t="str">
        <f>Data!AE420</f>
        <v/>
      </c>
      <c r="AB420" s="20">
        <f>Data!AG420</f>
        <v>0</v>
      </c>
      <c r="AC420" s="20" t="str">
        <f>CONCATENATE(Data!AI420," ",Data!AJ420)</f>
        <v>65 C</v>
      </c>
    </row>
    <row r="421" spans="1:29" ht="15">
      <c r="A421" s="20" t="str">
        <f>Data!A421</f>
        <v>デモ機</v>
      </c>
      <c r="B421" s="20" t="str">
        <f>Data!C421</f>
        <v>Entire Organization</v>
      </c>
      <c r="C421" s="20" t="str">
        <f>IF(Data!E421=0,"",Data!E421)</f>
        <v/>
      </c>
      <c r="D421" s="26">
        <f t="shared" si="6"/>
        <v>42065.906215509262</v>
      </c>
      <c r="E421" s="27">
        <f>Data!F421</f>
        <v>42065.906215509262</v>
      </c>
      <c r="F421" s="20" t="str">
        <f>Data!G421</f>
        <v>EngineStatusRecord</v>
      </c>
      <c r="G421" s="20">
        <f>Data!H421</f>
        <v>0</v>
      </c>
      <c r="H421" s="20">
        <f>Data!I421</f>
        <v>0</v>
      </c>
      <c r="I421" s="20">
        <f>Data!J421</f>
        <v>0</v>
      </c>
      <c r="J421" s="21" t="str">
        <f>IF(Data!K421=0,"",Data!K421)</f>
        <v/>
      </c>
      <c r="K421" s="22">
        <f>Data!L421</f>
        <v>0</v>
      </c>
      <c r="L421" s="21" t="str">
        <f>IF(Data!N421=0,"",Data!N421)</f>
        <v/>
      </c>
      <c r="M421" s="20">
        <f>Data!O421</f>
        <v>0</v>
      </c>
      <c r="N421" s="20">
        <f>Data!P421</f>
        <v>0</v>
      </c>
      <c r="O421" s="20">
        <f>Data!Q421</f>
        <v>0</v>
      </c>
      <c r="P421" s="20">
        <f>Data!R421</f>
        <v>0</v>
      </c>
      <c r="Q421" s="20">
        <f>Data!S421</f>
        <v>0</v>
      </c>
      <c r="R421" s="20">
        <f>Data!T421</f>
        <v>0</v>
      </c>
      <c r="S421" s="20">
        <f>Data!U421</f>
        <v>0</v>
      </c>
      <c r="T421" s="20">
        <f>Data!V421</f>
        <v>0</v>
      </c>
      <c r="U421" s="20">
        <f>Data!W421</f>
        <v>0</v>
      </c>
      <c r="V421" s="20">
        <f>Data!X421</f>
        <v>0</v>
      </c>
      <c r="W421" s="20">
        <f>Data!Y421</f>
        <v>0</v>
      </c>
      <c r="X421" s="20">
        <f>Data!Z421</f>
        <v>0</v>
      </c>
      <c r="Y421" s="22">
        <f>Data!AL421</f>
        <v>0</v>
      </c>
      <c r="Z421" s="20" t="str">
        <f>Data!AC421</f>
        <v>Engine RPM</v>
      </c>
      <c r="AA421" s="20" t="str">
        <f>Data!AE421</f>
        <v/>
      </c>
      <c r="AB421" s="20">
        <f>Data!AG421</f>
        <v>0</v>
      </c>
      <c r="AC421" s="20" t="str">
        <f>CONCATENATE(Data!AI421," ",Data!AJ421)</f>
        <v>1081 RPM</v>
      </c>
    </row>
    <row r="422" spans="1:29" ht="15">
      <c r="A422" s="20" t="str">
        <f>Data!A422</f>
        <v>デモ機</v>
      </c>
      <c r="B422" s="20" t="str">
        <f>Data!C422</f>
        <v>Entire Organization</v>
      </c>
      <c r="C422" s="20" t="str">
        <f>IF(Data!E422=0,"",Data!E422)</f>
        <v/>
      </c>
      <c r="D422" s="26">
        <f t="shared" si="6"/>
        <v>42065.906238657408</v>
      </c>
      <c r="E422" s="27">
        <f>Data!F422</f>
        <v>42065.906238657408</v>
      </c>
      <c r="F422" s="20" t="str">
        <f>Data!G422</f>
        <v>EngineStatusRecord</v>
      </c>
      <c r="G422" s="20">
        <f>Data!H422</f>
        <v>0</v>
      </c>
      <c r="H422" s="20">
        <f>Data!I422</f>
        <v>0</v>
      </c>
      <c r="I422" s="20">
        <f>Data!J422</f>
        <v>0</v>
      </c>
      <c r="J422" s="21" t="str">
        <f>IF(Data!K422=0,"",Data!K422)</f>
        <v/>
      </c>
      <c r="K422" s="22">
        <f>Data!L422</f>
        <v>0</v>
      </c>
      <c r="L422" s="21" t="str">
        <f>IF(Data!N422=0,"",Data!N422)</f>
        <v/>
      </c>
      <c r="M422" s="20">
        <f>Data!O422</f>
        <v>0</v>
      </c>
      <c r="N422" s="20">
        <f>Data!P422</f>
        <v>0</v>
      </c>
      <c r="O422" s="20">
        <f>Data!Q422</f>
        <v>0</v>
      </c>
      <c r="P422" s="20">
        <f>Data!R422</f>
        <v>0</v>
      </c>
      <c r="Q422" s="20">
        <f>Data!S422</f>
        <v>0</v>
      </c>
      <c r="R422" s="20">
        <f>Data!T422</f>
        <v>0</v>
      </c>
      <c r="S422" s="20">
        <f>Data!U422</f>
        <v>0</v>
      </c>
      <c r="T422" s="20">
        <f>Data!V422</f>
        <v>0</v>
      </c>
      <c r="U422" s="20">
        <f>Data!W422</f>
        <v>0</v>
      </c>
      <c r="V422" s="20">
        <f>Data!X422</f>
        <v>0</v>
      </c>
      <c r="W422" s="20">
        <f>Data!Y422</f>
        <v>0</v>
      </c>
      <c r="X422" s="20">
        <f>Data!Z422</f>
        <v>0</v>
      </c>
      <c r="Y422" s="22">
        <f>Data!AL422</f>
        <v>0</v>
      </c>
      <c r="Z422" s="20" t="str">
        <f>Data!AC422</f>
        <v>Engine RPM</v>
      </c>
      <c r="AA422" s="20" t="str">
        <f>Data!AE422</f>
        <v/>
      </c>
      <c r="AB422" s="20">
        <f>Data!AG422</f>
        <v>0</v>
      </c>
      <c r="AC422" s="20" t="str">
        <f>CONCATENATE(Data!AI422," ",Data!AJ422)</f>
        <v>1857 RPM</v>
      </c>
    </row>
    <row r="423" spans="1:29" ht="15">
      <c r="A423" s="20" t="str">
        <f>Data!A423</f>
        <v>デモ機</v>
      </c>
      <c r="B423" s="20" t="str">
        <f>Data!C423</f>
        <v>Entire Organization</v>
      </c>
      <c r="C423" s="20" t="str">
        <f>IF(Data!E423=0,"",Data!E423)</f>
        <v/>
      </c>
      <c r="D423" s="26">
        <f t="shared" si="6"/>
        <v>42065.906273298613</v>
      </c>
      <c r="E423" s="27">
        <f>Data!F423</f>
        <v>42065.906273298613</v>
      </c>
      <c r="F423" s="20" t="str">
        <f>Data!G423</f>
        <v>EngineStatusRecord</v>
      </c>
      <c r="G423" s="20">
        <f>Data!H423</f>
        <v>0</v>
      </c>
      <c r="H423" s="20">
        <f>Data!I423</f>
        <v>0</v>
      </c>
      <c r="I423" s="20">
        <f>Data!J423</f>
        <v>0</v>
      </c>
      <c r="J423" s="21" t="str">
        <f>IF(Data!K423=0,"",Data!K423)</f>
        <v/>
      </c>
      <c r="K423" s="22">
        <f>Data!L423</f>
        <v>0</v>
      </c>
      <c r="L423" s="21" t="str">
        <f>IF(Data!N423=0,"",Data!N423)</f>
        <v/>
      </c>
      <c r="M423" s="20">
        <f>Data!O423</f>
        <v>0</v>
      </c>
      <c r="N423" s="20">
        <f>Data!P423</f>
        <v>0</v>
      </c>
      <c r="O423" s="20">
        <f>Data!Q423</f>
        <v>0</v>
      </c>
      <c r="P423" s="20">
        <f>Data!R423</f>
        <v>0</v>
      </c>
      <c r="Q423" s="20">
        <f>Data!S423</f>
        <v>0</v>
      </c>
      <c r="R423" s="20">
        <f>Data!T423</f>
        <v>0</v>
      </c>
      <c r="S423" s="20">
        <f>Data!U423</f>
        <v>0</v>
      </c>
      <c r="T423" s="20">
        <f>Data!V423</f>
        <v>0</v>
      </c>
      <c r="U423" s="20">
        <f>Data!W423</f>
        <v>0</v>
      </c>
      <c r="V423" s="20">
        <f>Data!X423</f>
        <v>0</v>
      </c>
      <c r="W423" s="20">
        <f>Data!Y423</f>
        <v>0</v>
      </c>
      <c r="X423" s="20">
        <f>Data!Z423</f>
        <v>0</v>
      </c>
      <c r="Y423" s="22">
        <f>Data!AL423</f>
        <v>0</v>
      </c>
      <c r="Z423" s="20" t="str">
        <f>Data!AC423</f>
        <v>Engine RPM</v>
      </c>
      <c r="AA423" s="20" t="str">
        <f>Data!AE423</f>
        <v/>
      </c>
      <c r="AB423" s="20">
        <f>Data!AG423</f>
        <v>0</v>
      </c>
      <c r="AC423" s="20" t="str">
        <f>CONCATENATE(Data!AI423," ",Data!AJ423)</f>
        <v>1248.75 RPM</v>
      </c>
    </row>
    <row r="424" spans="1:29" ht="15">
      <c r="A424" s="20" t="str">
        <f>Data!A424</f>
        <v>デモ機</v>
      </c>
      <c r="B424" s="20" t="str">
        <f>Data!C424</f>
        <v>Entire Organization</v>
      </c>
      <c r="C424" s="20" t="str">
        <f>IF(Data!E424=0,"",Data!E424)</f>
        <v/>
      </c>
      <c r="D424" s="26">
        <f t="shared" si="6"/>
        <v>42065.906490706016</v>
      </c>
      <c r="E424" s="27">
        <f>Data!F424</f>
        <v>42065.906490706016</v>
      </c>
      <c r="F424" s="20" t="str">
        <f>Data!G424</f>
        <v>EngineStatusRecord</v>
      </c>
      <c r="G424" s="20">
        <f>Data!H424</f>
        <v>0</v>
      </c>
      <c r="H424" s="20">
        <f>Data!I424</f>
        <v>0</v>
      </c>
      <c r="I424" s="20">
        <f>Data!J424</f>
        <v>0</v>
      </c>
      <c r="J424" s="21" t="str">
        <f>IF(Data!K424=0,"",Data!K424)</f>
        <v/>
      </c>
      <c r="K424" s="22">
        <f>Data!L424</f>
        <v>0</v>
      </c>
      <c r="L424" s="21" t="str">
        <f>IF(Data!N424=0,"",Data!N424)</f>
        <v/>
      </c>
      <c r="M424" s="20">
        <f>Data!O424</f>
        <v>0</v>
      </c>
      <c r="N424" s="20">
        <f>Data!P424</f>
        <v>0</v>
      </c>
      <c r="O424" s="20">
        <f>Data!Q424</f>
        <v>0</v>
      </c>
      <c r="P424" s="20">
        <f>Data!R424</f>
        <v>0</v>
      </c>
      <c r="Q424" s="20">
        <f>Data!S424</f>
        <v>0</v>
      </c>
      <c r="R424" s="20">
        <f>Data!T424</f>
        <v>0</v>
      </c>
      <c r="S424" s="20">
        <f>Data!U424</f>
        <v>0</v>
      </c>
      <c r="T424" s="20">
        <f>Data!V424</f>
        <v>0</v>
      </c>
      <c r="U424" s="20">
        <f>Data!W424</f>
        <v>0</v>
      </c>
      <c r="V424" s="20">
        <f>Data!X424</f>
        <v>0</v>
      </c>
      <c r="W424" s="20">
        <f>Data!Y424</f>
        <v>0</v>
      </c>
      <c r="X424" s="20">
        <f>Data!Z424</f>
        <v>0</v>
      </c>
      <c r="Y424" s="22">
        <f>Data!AL424</f>
        <v>0</v>
      </c>
      <c r="Z424" s="20" t="str">
        <f>Data!AC424</f>
        <v>Telematics device voltage</v>
      </c>
      <c r="AA424" s="20" t="str">
        <f>Data!AE424</f>
        <v/>
      </c>
      <c r="AB424" s="20">
        <f>Data!AG424</f>
        <v>0</v>
      </c>
      <c r="AC424" s="20" t="str">
        <f>CONCATENATE(Data!AI424," ",Data!AJ424)</f>
        <v>13.573555 V</v>
      </c>
    </row>
    <row r="425" spans="1:29" ht="15">
      <c r="A425" s="20" t="str">
        <f>Data!A425</f>
        <v>デモ機</v>
      </c>
      <c r="B425" s="20" t="str">
        <f>Data!C425</f>
        <v>Entire Organization</v>
      </c>
      <c r="C425" s="20" t="str">
        <f>IF(Data!E425=0,"",Data!E425)</f>
        <v/>
      </c>
      <c r="D425" s="26">
        <f t="shared" si="6"/>
        <v>42065.906586724537</v>
      </c>
      <c r="E425" s="27">
        <f>Data!F425</f>
        <v>42065.906586724537</v>
      </c>
      <c r="F425" s="20" t="str">
        <f>Data!G425</f>
        <v>EngineStatusRecord</v>
      </c>
      <c r="G425" s="20">
        <f>Data!H425</f>
        <v>0</v>
      </c>
      <c r="H425" s="20">
        <f>Data!I425</f>
        <v>0</v>
      </c>
      <c r="I425" s="20">
        <f>Data!J425</f>
        <v>0</v>
      </c>
      <c r="J425" s="21" t="str">
        <f>IF(Data!K425=0,"",Data!K425)</f>
        <v/>
      </c>
      <c r="K425" s="22">
        <f>Data!L425</f>
        <v>0</v>
      </c>
      <c r="L425" s="21" t="str">
        <f>IF(Data!N425=0,"",Data!N425)</f>
        <v/>
      </c>
      <c r="M425" s="20">
        <f>Data!O425</f>
        <v>0</v>
      </c>
      <c r="N425" s="20">
        <f>Data!P425</f>
        <v>0</v>
      </c>
      <c r="O425" s="20">
        <f>Data!Q425</f>
        <v>0</v>
      </c>
      <c r="P425" s="20">
        <f>Data!R425</f>
        <v>0</v>
      </c>
      <c r="Q425" s="20">
        <f>Data!S425</f>
        <v>0</v>
      </c>
      <c r="R425" s="20">
        <f>Data!T425</f>
        <v>0</v>
      </c>
      <c r="S425" s="20">
        <f>Data!U425</f>
        <v>0</v>
      </c>
      <c r="T425" s="20">
        <f>Data!V425</f>
        <v>0</v>
      </c>
      <c r="U425" s="20">
        <f>Data!W425</f>
        <v>0</v>
      </c>
      <c r="V425" s="20">
        <f>Data!X425</f>
        <v>0</v>
      </c>
      <c r="W425" s="20">
        <f>Data!Y425</f>
        <v>0</v>
      </c>
      <c r="X425" s="20">
        <f>Data!Z425</f>
        <v>0</v>
      </c>
      <c r="Y425" s="22">
        <f>Data!AL425</f>
        <v>0</v>
      </c>
      <c r="Z425" s="20" t="str">
        <f>Data!AC425</f>
        <v>Gear position</v>
      </c>
      <c r="AA425" s="20" t="str">
        <f>Data!AE425</f>
        <v/>
      </c>
      <c r="AB425" s="20">
        <f>Data!AG425</f>
        <v>0</v>
      </c>
      <c r="AC425" s="20" t="str">
        <f>CONCATENATE(Data!AI425," ",Data!AJ425)</f>
        <v xml:space="preserve">126 </v>
      </c>
    </row>
    <row r="428" spans="1:29">
      <c r="Y428" s="4"/>
    </row>
  </sheetData>
  <conditionalFormatting sqref="N9:U425">
    <cfRule type="cellIs" dxfId="4" priority="19" stopIfTrue="1" operator="equal">
      <formula>TRUE</formula>
    </cfRule>
  </conditionalFormatting>
  <conditionalFormatting sqref="V9:X425">
    <cfRule type="cellIs" dxfId="3" priority="11" stopIfTrue="1" operator="equal">
      <formula>FALSE</formula>
    </cfRule>
  </conditionalFormatting>
  <conditionalFormatting sqref="J9:J425">
    <cfRule type="expression" dxfId="2" priority="1" stopIfTrue="1">
      <formula>ISNUMBER(SEARCH("Customer Zone", K9))</formula>
    </cfRule>
    <cfRule type="expression" dxfId="1" priority="2" stopIfTrue="1">
      <formula>ISNUMBER(SEARCH("Home Zone", K9))</formula>
    </cfRule>
    <cfRule type="expression" dxfId="0" priority="3" stopIfTrue="1">
      <formula>ISNUMBER(SEARCH("Depot Zone", K9))</formula>
    </cfRule>
  </conditionalFormatting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>
  <dimension ref="A1:O360"/>
  <sheetViews>
    <sheetView showGridLines="0" tabSelected="1" workbookViewId="0">
      <selection activeCell="G4" sqref="G4"/>
    </sheetView>
  </sheetViews>
  <sheetFormatPr defaultRowHeight="12.75"/>
  <cols>
    <col min="1" max="1" width="18.28515625" customWidth="1"/>
    <col min="2" max="2" width="22.5703125" customWidth="1"/>
    <col min="3" max="3" width="14" customWidth="1"/>
    <col min="4" max="4" width="20.85546875" customWidth="1"/>
    <col min="5" max="5" width="21" customWidth="1"/>
    <col min="6" max="6" width="16.42578125" customWidth="1"/>
    <col min="7" max="7" width="8.85546875" customWidth="1"/>
    <col min="8" max="8" width="12.7109375" customWidth="1"/>
    <col min="9" max="9" width="35.85546875" customWidth="1"/>
    <col min="10" max="10" width="19.42578125" customWidth="1"/>
    <col min="11" max="11" width="21.42578125" customWidth="1"/>
    <col min="12" max="12" width="13.140625" customWidth="1"/>
    <col min="13" max="13" width="10.140625" customWidth="1"/>
    <col min="14" max="14" width="40.42578125" customWidth="1"/>
    <col min="15" max="15" width="24" customWidth="1"/>
    <col min="16" max="16" width="15.7109375" customWidth="1"/>
    <col min="17" max="17" width="15.140625" customWidth="1"/>
  </cols>
  <sheetData>
    <row r="1" spans="1:15" s="11" customFormat="1" ht="23.25">
      <c r="A1" s="11" t="s">
        <v>21</v>
      </c>
      <c r="F1" s="14">
        <f>Data!B2</f>
        <v>42065.962636481483</v>
      </c>
    </row>
    <row r="4" spans="1:15" ht="15">
      <c r="A4" s="15" t="s">
        <v>72</v>
      </c>
      <c r="B4" s="23">
        <f>Data!B3</f>
        <v>42065</v>
      </c>
    </row>
    <row r="5" spans="1:15" ht="15">
      <c r="A5" s="15" t="s">
        <v>73</v>
      </c>
      <c r="B5" s="23">
        <f>Data!B4</f>
        <v>42065.999988425923</v>
      </c>
    </row>
    <row r="6" spans="1:15" ht="15">
      <c r="A6" s="15" t="s">
        <v>78</v>
      </c>
      <c r="B6" s="20" t="str">
        <f>Data!B5</f>
        <v>km/h</v>
      </c>
    </row>
    <row r="9" spans="1:15">
      <c r="A9" s="24" t="s">
        <v>0</v>
      </c>
      <c r="B9" s="24" t="s">
        <v>66</v>
      </c>
      <c r="C9" s="24" t="s">
        <v>24</v>
      </c>
      <c r="D9" s="24" t="s">
        <v>20</v>
      </c>
      <c r="E9" s="24" t="s">
        <v>2</v>
      </c>
      <c r="F9" s="24" t="s">
        <v>22</v>
      </c>
      <c r="G9" s="24" t="s">
        <v>3</v>
      </c>
      <c r="H9" s="24" t="s">
        <v>4</v>
      </c>
      <c r="I9" s="24" t="s">
        <v>23</v>
      </c>
      <c r="J9" s="24" t="s">
        <v>5</v>
      </c>
      <c r="K9" s="24" t="s">
        <v>6</v>
      </c>
      <c r="L9" s="24" t="s">
        <v>61</v>
      </c>
      <c r="M9" s="24" t="s">
        <v>62</v>
      </c>
      <c r="N9" s="24" t="s">
        <v>63</v>
      </c>
      <c r="O9" s="24" t="s">
        <v>64</v>
      </c>
    </row>
    <row r="10" spans="1:15">
      <c r="A10" t="s">
        <v>89</v>
      </c>
      <c r="B10" t="s">
        <v>90</v>
      </c>
      <c r="C10" s="25">
        <v>42065.867129629631</v>
      </c>
      <c r="D10" s="2">
        <v>42065.867129629631</v>
      </c>
      <c r="E10" t="s">
        <v>60</v>
      </c>
      <c r="F10">
        <v>0</v>
      </c>
      <c r="G10">
        <v>0</v>
      </c>
      <c r="H10">
        <v>0</v>
      </c>
      <c r="K10">
        <v>0</v>
      </c>
      <c r="L10" t="s">
        <v>97</v>
      </c>
      <c r="O10" t="s">
        <v>83</v>
      </c>
    </row>
    <row r="11" spans="1:15">
      <c r="E11" t="s">
        <v>59</v>
      </c>
      <c r="F11">
        <v>0</v>
      </c>
      <c r="G11">
        <v>0</v>
      </c>
      <c r="H11">
        <v>0</v>
      </c>
      <c r="K11">
        <v>0</v>
      </c>
      <c r="L11" t="s">
        <v>93</v>
      </c>
      <c r="N11">
        <v>0</v>
      </c>
      <c r="O11" t="s">
        <v>348</v>
      </c>
    </row>
    <row r="12" spans="1:15">
      <c r="C12" s="25">
        <v>42065.867569444446</v>
      </c>
      <c r="D12" s="2">
        <v>42065.867569444446</v>
      </c>
      <c r="E12" t="s">
        <v>98</v>
      </c>
      <c r="F12">
        <v>0</v>
      </c>
      <c r="G12">
        <v>0</v>
      </c>
      <c r="H12">
        <v>0</v>
      </c>
      <c r="J12" t="s">
        <v>99</v>
      </c>
      <c r="K12">
        <v>0</v>
      </c>
      <c r="L12">
        <v>0</v>
      </c>
      <c r="M12">
        <v>0</v>
      </c>
      <c r="N12">
        <v>0</v>
      </c>
      <c r="O12" t="s">
        <v>83</v>
      </c>
    </row>
    <row r="13" spans="1:15">
      <c r="C13" s="25">
        <v>42065.867581018516</v>
      </c>
      <c r="D13" s="2">
        <v>42065.867581018516</v>
      </c>
      <c r="E13" t="s">
        <v>98</v>
      </c>
      <c r="F13">
        <v>0</v>
      </c>
      <c r="G13">
        <v>0</v>
      </c>
      <c r="H13">
        <v>0</v>
      </c>
      <c r="J13" t="s">
        <v>99</v>
      </c>
      <c r="K13">
        <v>0</v>
      </c>
      <c r="L13">
        <v>0</v>
      </c>
      <c r="M13">
        <v>0</v>
      </c>
      <c r="N13">
        <v>0</v>
      </c>
      <c r="O13" t="s">
        <v>83</v>
      </c>
    </row>
    <row r="14" spans="1:15">
      <c r="J14" t="s">
        <v>106</v>
      </c>
      <c r="K14">
        <v>0</v>
      </c>
      <c r="L14">
        <v>0</v>
      </c>
      <c r="M14">
        <v>0</v>
      </c>
      <c r="N14">
        <v>0</v>
      </c>
      <c r="O14" t="s">
        <v>83</v>
      </c>
    </row>
    <row r="15" spans="1:15">
      <c r="C15" s="25">
        <v>42065.867592592593</v>
      </c>
      <c r="D15" s="2">
        <v>42065.867592592593</v>
      </c>
      <c r="E15" t="s">
        <v>98</v>
      </c>
      <c r="F15">
        <v>0</v>
      </c>
      <c r="G15">
        <v>0</v>
      </c>
      <c r="H15">
        <v>0</v>
      </c>
      <c r="J15" t="s">
        <v>99</v>
      </c>
      <c r="K15">
        <v>0</v>
      </c>
      <c r="L15">
        <v>0</v>
      </c>
      <c r="M15">
        <v>0</v>
      </c>
      <c r="N15">
        <v>0</v>
      </c>
      <c r="O15" t="s">
        <v>83</v>
      </c>
    </row>
    <row r="16" spans="1:15">
      <c r="J16" t="s">
        <v>106</v>
      </c>
      <c r="K16">
        <v>0</v>
      </c>
      <c r="L16">
        <v>0</v>
      </c>
      <c r="M16">
        <v>0</v>
      </c>
      <c r="N16">
        <v>0</v>
      </c>
      <c r="O16" t="s">
        <v>83</v>
      </c>
    </row>
    <row r="17" spans="3:15">
      <c r="C17" s="25">
        <v>42065.867604166669</v>
      </c>
      <c r="D17" s="2">
        <v>42065.867604166669</v>
      </c>
      <c r="E17" t="s">
        <v>98</v>
      </c>
      <c r="F17">
        <v>0</v>
      </c>
      <c r="G17">
        <v>0</v>
      </c>
      <c r="H17">
        <v>0</v>
      </c>
      <c r="J17" t="s">
        <v>99</v>
      </c>
      <c r="K17">
        <v>0</v>
      </c>
      <c r="L17">
        <v>0</v>
      </c>
      <c r="M17">
        <v>0</v>
      </c>
      <c r="N17">
        <v>0</v>
      </c>
      <c r="O17" t="s">
        <v>83</v>
      </c>
    </row>
    <row r="18" spans="3:15">
      <c r="C18" s="25">
        <v>42065.867615740739</v>
      </c>
      <c r="D18" s="2">
        <v>42065.867615740739</v>
      </c>
      <c r="E18" t="s">
        <v>98</v>
      </c>
      <c r="F18">
        <v>0</v>
      </c>
      <c r="G18">
        <v>0</v>
      </c>
      <c r="H18">
        <v>0</v>
      </c>
      <c r="J18" t="s">
        <v>99</v>
      </c>
      <c r="K18">
        <v>0</v>
      </c>
      <c r="L18">
        <v>0</v>
      </c>
      <c r="M18">
        <v>0</v>
      </c>
      <c r="N18">
        <v>0</v>
      </c>
      <c r="O18" t="s">
        <v>83</v>
      </c>
    </row>
    <row r="19" spans="3:15">
      <c r="C19" s="25">
        <v>42065.867766203701</v>
      </c>
      <c r="D19" s="2">
        <v>42065.867766203701</v>
      </c>
      <c r="E19" t="s">
        <v>98</v>
      </c>
      <c r="F19">
        <v>0</v>
      </c>
      <c r="G19">
        <v>0</v>
      </c>
      <c r="H19">
        <v>0</v>
      </c>
      <c r="J19" t="s">
        <v>99</v>
      </c>
      <c r="K19">
        <v>0</v>
      </c>
      <c r="L19">
        <v>0</v>
      </c>
      <c r="M19">
        <v>0</v>
      </c>
      <c r="N19">
        <v>0</v>
      </c>
      <c r="O19" t="s">
        <v>83</v>
      </c>
    </row>
    <row r="20" spans="3:15">
      <c r="C20" s="25">
        <v>42065.867777777778</v>
      </c>
      <c r="D20" s="2">
        <v>42065.867777777778</v>
      </c>
      <c r="E20" t="s">
        <v>98</v>
      </c>
      <c r="F20">
        <v>0</v>
      </c>
      <c r="G20">
        <v>0</v>
      </c>
      <c r="H20">
        <v>0</v>
      </c>
      <c r="J20" t="s">
        <v>99</v>
      </c>
      <c r="K20">
        <v>0</v>
      </c>
      <c r="L20">
        <v>0</v>
      </c>
      <c r="M20">
        <v>0</v>
      </c>
      <c r="N20">
        <v>0</v>
      </c>
      <c r="O20" t="s">
        <v>83</v>
      </c>
    </row>
    <row r="21" spans="3:15">
      <c r="C21" s="25">
        <v>42065.867789351854</v>
      </c>
      <c r="D21" s="2">
        <v>42065.867789351854</v>
      </c>
      <c r="E21" t="s">
        <v>98</v>
      </c>
      <c r="F21">
        <v>0</v>
      </c>
      <c r="G21">
        <v>0</v>
      </c>
      <c r="H21">
        <v>0</v>
      </c>
      <c r="J21" t="s">
        <v>99</v>
      </c>
      <c r="K21">
        <v>0</v>
      </c>
      <c r="L21">
        <v>0</v>
      </c>
      <c r="M21">
        <v>0</v>
      </c>
      <c r="N21">
        <v>0</v>
      </c>
      <c r="O21" t="s">
        <v>83</v>
      </c>
    </row>
    <row r="22" spans="3:15">
      <c r="C22" s="25">
        <v>42065.867905092593</v>
      </c>
      <c r="D22" s="2">
        <v>42065.867905092593</v>
      </c>
      <c r="E22" t="s">
        <v>59</v>
      </c>
      <c r="F22">
        <v>0</v>
      </c>
      <c r="G22">
        <v>0</v>
      </c>
      <c r="H22">
        <v>0</v>
      </c>
      <c r="K22">
        <v>0</v>
      </c>
      <c r="L22" t="s">
        <v>144</v>
      </c>
      <c r="N22">
        <v>0</v>
      </c>
      <c r="O22" t="s">
        <v>349</v>
      </c>
    </row>
    <row r="23" spans="3:15">
      <c r="O23" t="s">
        <v>350</v>
      </c>
    </row>
    <row r="24" spans="3:15">
      <c r="C24" s="25">
        <v>42065.867928240739</v>
      </c>
      <c r="D24" s="2">
        <v>42065.867928240739</v>
      </c>
      <c r="E24" t="s">
        <v>59</v>
      </c>
      <c r="F24">
        <v>0</v>
      </c>
      <c r="G24">
        <v>0</v>
      </c>
      <c r="H24">
        <v>0</v>
      </c>
      <c r="K24">
        <v>0</v>
      </c>
      <c r="L24" t="s">
        <v>144</v>
      </c>
      <c r="N24">
        <v>0</v>
      </c>
      <c r="O24" t="s">
        <v>351</v>
      </c>
    </row>
    <row r="25" spans="3:15">
      <c r="C25" s="25">
        <v>42065.867986111109</v>
      </c>
      <c r="D25" s="2">
        <v>42065.867986111109</v>
      </c>
      <c r="E25" t="s">
        <v>59</v>
      </c>
      <c r="F25">
        <v>0</v>
      </c>
      <c r="G25">
        <v>0</v>
      </c>
      <c r="H25">
        <v>0</v>
      </c>
      <c r="K25">
        <v>0</v>
      </c>
      <c r="L25" t="s">
        <v>6</v>
      </c>
      <c r="N25">
        <v>0</v>
      </c>
      <c r="O25" t="s">
        <v>348</v>
      </c>
    </row>
    <row r="26" spans="3:15">
      <c r="L26" t="s">
        <v>165</v>
      </c>
      <c r="N26">
        <v>0</v>
      </c>
      <c r="O26" t="s">
        <v>352</v>
      </c>
    </row>
    <row r="27" spans="3:15">
      <c r="E27" t="s">
        <v>19</v>
      </c>
      <c r="F27">
        <v>0</v>
      </c>
      <c r="G27">
        <v>139.40158</v>
      </c>
      <c r="H27">
        <v>35.568950000000001</v>
      </c>
      <c r="I27" t="s">
        <v>158</v>
      </c>
      <c r="J27" t="s">
        <v>159</v>
      </c>
      <c r="K27" t="s">
        <v>82</v>
      </c>
      <c r="L27">
        <v>0</v>
      </c>
      <c r="M27">
        <v>0</v>
      </c>
      <c r="N27">
        <v>0</v>
      </c>
      <c r="O27" t="s">
        <v>83</v>
      </c>
    </row>
    <row r="28" spans="3:15">
      <c r="E28" t="s">
        <v>98</v>
      </c>
      <c r="F28">
        <v>0</v>
      </c>
      <c r="G28">
        <v>0</v>
      </c>
      <c r="H28">
        <v>0</v>
      </c>
      <c r="J28" t="s">
        <v>99</v>
      </c>
      <c r="K28">
        <v>0</v>
      </c>
      <c r="L28">
        <v>0</v>
      </c>
      <c r="M28">
        <v>0</v>
      </c>
      <c r="N28">
        <v>0</v>
      </c>
      <c r="O28" t="s">
        <v>83</v>
      </c>
    </row>
    <row r="29" spans="3:15">
      <c r="J29" t="s">
        <v>160</v>
      </c>
      <c r="K29">
        <v>0</v>
      </c>
      <c r="L29">
        <v>0</v>
      </c>
      <c r="M29">
        <v>0</v>
      </c>
      <c r="N29">
        <v>0</v>
      </c>
      <c r="O29" t="s">
        <v>83</v>
      </c>
    </row>
    <row r="30" spans="3:15">
      <c r="J30" t="s">
        <v>166</v>
      </c>
      <c r="K30">
        <v>0</v>
      </c>
      <c r="L30">
        <v>0</v>
      </c>
      <c r="M30">
        <v>0</v>
      </c>
      <c r="N30">
        <v>0</v>
      </c>
      <c r="O30" t="s">
        <v>83</v>
      </c>
    </row>
    <row r="31" spans="3:15">
      <c r="C31" s="25">
        <v>42065.867997685185</v>
      </c>
      <c r="D31" s="2">
        <v>42065.867997685185</v>
      </c>
      <c r="E31" t="s">
        <v>59</v>
      </c>
      <c r="F31">
        <v>0</v>
      </c>
      <c r="G31">
        <v>0</v>
      </c>
      <c r="H31">
        <v>0</v>
      </c>
      <c r="K31">
        <v>0</v>
      </c>
      <c r="L31" t="s">
        <v>165</v>
      </c>
      <c r="N31">
        <v>0</v>
      </c>
      <c r="O31" t="s">
        <v>353</v>
      </c>
    </row>
    <row r="32" spans="3:15">
      <c r="E32" t="s">
        <v>98</v>
      </c>
      <c r="F32">
        <v>0</v>
      </c>
      <c r="G32">
        <v>0</v>
      </c>
      <c r="H32">
        <v>0</v>
      </c>
      <c r="J32" t="s">
        <v>99</v>
      </c>
      <c r="K32">
        <v>0</v>
      </c>
      <c r="L32">
        <v>0</v>
      </c>
      <c r="M32">
        <v>0</v>
      </c>
      <c r="N32">
        <v>0</v>
      </c>
      <c r="O32" t="s">
        <v>83</v>
      </c>
    </row>
    <row r="33" spans="3:15">
      <c r="J33" t="s">
        <v>166</v>
      </c>
      <c r="K33">
        <v>0</v>
      </c>
      <c r="L33">
        <v>0</v>
      </c>
      <c r="M33">
        <v>0</v>
      </c>
      <c r="N33">
        <v>0</v>
      </c>
      <c r="O33" t="s">
        <v>83</v>
      </c>
    </row>
    <row r="34" spans="3:15">
      <c r="J34" t="s">
        <v>180</v>
      </c>
      <c r="K34">
        <v>0</v>
      </c>
      <c r="L34">
        <v>0</v>
      </c>
      <c r="M34">
        <v>0</v>
      </c>
      <c r="N34">
        <v>0</v>
      </c>
      <c r="O34" t="s">
        <v>83</v>
      </c>
    </row>
    <row r="35" spans="3:15">
      <c r="J35" t="s">
        <v>182</v>
      </c>
      <c r="K35">
        <v>0</v>
      </c>
      <c r="L35">
        <v>0</v>
      </c>
      <c r="M35">
        <v>0</v>
      </c>
      <c r="N35">
        <v>0</v>
      </c>
      <c r="O35" t="s">
        <v>83</v>
      </c>
    </row>
    <row r="36" spans="3:15">
      <c r="C36" s="25">
        <v>42065.868009259262</v>
      </c>
      <c r="D36" s="2">
        <v>42065.868009259262</v>
      </c>
      <c r="E36" t="s">
        <v>98</v>
      </c>
      <c r="F36">
        <v>0</v>
      </c>
      <c r="G36">
        <v>0</v>
      </c>
      <c r="H36">
        <v>0</v>
      </c>
      <c r="J36" t="s">
        <v>99</v>
      </c>
      <c r="K36">
        <v>0</v>
      </c>
      <c r="L36">
        <v>0</v>
      </c>
      <c r="M36">
        <v>0</v>
      </c>
      <c r="N36">
        <v>0</v>
      </c>
      <c r="O36" t="s">
        <v>83</v>
      </c>
    </row>
    <row r="37" spans="3:15">
      <c r="J37" t="s">
        <v>106</v>
      </c>
      <c r="K37">
        <v>0</v>
      </c>
      <c r="L37">
        <v>0</v>
      </c>
      <c r="M37">
        <v>0</v>
      </c>
      <c r="N37">
        <v>0</v>
      </c>
      <c r="O37" t="s">
        <v>83</v>
      </c>
    </row>
    <row r="38" spans="3:15">
      <c r="J38" t="s">
        <v>166</v>
      </c>
      <c r="K38">
        <v>0</v>
      </c>
      <c r="L38">
        <v>0</v>
      </c>
      <c r="M38">
        <v>0</v>
      </c>
      <c r="N38">
        <v>0</v>
      </c>
      <c r="O38" t="s">
        <v>83</v>
      </c>
    </row>
    <row r="39" spans="3:15">
      <c r="C39" s="25">
        <v>42065.868020833332</v>
      </c>
      <c r="D39" s="2">
        <v>42065.868020833332</v>
      </c>
      <c r="E39" t="s">
        <v>59</v>
      </c>
      <c r="F39">
        <v>0</v>
      </c>
      <c r="G39">
        <v>0</v>
      </c>
      <c r="H39">
        <v>0</v>
      </c>
      <c r="K39">
        <v>0</v>
      </c>
      <c r="L39" t="s">
        <v>144</v>
      </c>
      <c r="N39">
        <v>0</v>
      </c>
      <c r="O39" t="s">
        <v>350</v>
      </c>
    </row>
    <row r="40" spans="3:15">
      <c r="E40" t="s">
        <v>98</v>
      </c>
      <c r="F40">
        <v>0</v>
      </c>
      <c r="G40">
        <v>0</v>
      </c>
      <c r="H40">
        <v>0</v>
      </c>
      <c r="J40" t="s">
        <v>166</v>
      </c>
      <c r="K40">
        <v>0</v>
      </c>
      <c r="L40">
        <v>0</v>
      </c>
      <c r="M40">
        <v>0</v>
      </c>
      <c r="N40">
        <v>0</v>
      </c>
      <c r="O40" t="s">
        <v>83</v>
      </c>
    </row>
    <row r="41" spans="3:15">
      <c r="C41" s="25">
        <v>42065.868032407408</v>
      </c>
      <c r="D41" s="2">
        <v>42065.868032407408</v>
      </c>
      <c r="E41" t="s">
        <v>98</v>
      </c>
      <c r="F41">
        <v>0</v>
      </c>
      <c r="G41">
        <v>0</v>
      </c>
      <c r="H41">
        <v>0</v>
      </c>
      <c r="J41" t="s">
        <v>166</v>
      </c>
      <c r="K41">
        <v>0</v>
      </c>
      <c r="L41">
        <v>0</v>
      </c>
      <c r="M41">
        <v>0</v>
      </c>
      <c r="N41">
        <v>0</v>
      </c>
      <c r="O41" t="s">
        <v>83</v>
      </c>
    </row>
    <row r="42" spans="3:15">
      <c r="C42" s="25">
        <v>42065.868043981478</v>
      </c>
      <c r="D42" s="2">
        <v>42065.868043981478</v>
      </c>
      <c r="E42" t="s">
        <v>98</v>
      </c>
      <c r="F42">
        <v>0</v>
      </c>
      <c r="G42">
        <v>0</v>
      </c>
      <c r="H42">
        <v>0</v>
      </c>
      <c r="J42" t="s">
        <v>166</v>
      </c>
      <c r="K42">
        <v>0</v>
      </c>
      <c r="L42">
        <v>0</v>
      </c>
      <c r="M42">
        <v>0</v>
      </c>
      <c r="N42">
        <v>0</v>
      </c>
      <c r="O42" t="s">
        <v>83</v>
      </c>
    </row>
    <row r="43" spans="3:15">
      <c r="C43" s="25">
        <v>42065.868055555555</v>
      </c>
      <c r="D43" s="2">
        <v>42065.868055555555</v>
      </c>
      <c r="E43" t="s">
        <v>98</v>
      </c>
      <c r="F43">
        <v>0</v>
      </c>
      <c r="G43">
        <v>0</v>
      </c>
      <c r="H43">
        <v>0</v>
      </c>
      <c r="J43" t="s">
        <v>166</v>
      </c>
      <c r="K43">
        <v>0</v>
      </c>
      <c r="L43">
        <v>0</v>
      </c>
      <c r="M43">
        <v>0</v>
      </c>
      <c r="N43">
        <v>0</v>
      </c>
      <c r="O43" t="s">
        <v>83</v>
      </c>
    </row>
    <row r="44" spans="3:15">
      <c r="C44" s="25">
        <v>42065.868067129632</v>
      </c>
      <c r="D44" s="2">
        <v>42065.868067129632</v>
      </c>
      <c r="E44" t="s">
        <v>98</v>
      </c>
      <c r="F44">
        <v>0</v>
      </c>
      <c r="G44">
        <v>0</v>
      </c>
      <c r="H44">
        <v>0</v>
      </c>
      <c r="J44" t="s">
        <v>166</v>
      </c>
      <c r="K44">
        <v>0</v>
      </c>
      <c r="L44">
        <v>0</v>
      </c>
      <c r="M44">
        <v>0</v>
      </c>
      <c r="N44">
        <v>0</v>
      </c>
      <c r="O44" t="s">
        <v>83</v>
      </c>
    </row>
    <row r="45" spans="3:15">
      <c r="C45" s="25">
        <v>42065.868078703701</v>
      </c>
      <c r="D45" s="2">
        <v>42065.868078703701</v>
      </c>
      <c r="E45" t="s">
        <v>98</v>
      </c>
      <c r="F45">
        <v>0</v>
      </c>
      <c r="G45">
        <v>0</v>
      </c>
      <c r="H45">
        <v>0</v>
      </c>
      <c r="J45" t="s">
        <v>166</v>
      </c>
      <c r="K45">
        <v>0</v>
      </c>
      <c r="L45">
        <v>0</v>
      </c>
      <c r="M45">
        <v>0</v>
      </c>
      <c r="N45">
        <v>0</v>
      </c>
      <c r="O45" t="s">
        <v>83</v>
      </c>
    </row>
    <row r="46" spans="3:15">
      <c r="J46" t="s">
        <v>194</v>
      </c>
      <c r="K46">
        <v>0</v>
      </c>
      <c r="L46">
        <v>0</v>
      </c>
      <c r="M46">
        <v>0</v>
      </c>
      <c r="N46">
        <v>0</v>
      </c>
      <c r="O46" t="s">
        <v>83</v>
      </c>
    </row>
    <row r="47" spans="3:15">
      <c r="C47" s="25">
        <v>42065.868090277778</v>
      </c>
      <c r="D47" s="2">
        <v>42065.868090277778</v>
      </c>
      <c r="E47" t="s">
        <v>98</v>
      </c>
      <c r="F47">
        <v>0</v>
      </c>
      <c r="G47">
        <v>0</v>
      </c>
      <c r="H47">
        <v>0</v>
      </c>
      <c r="J47" t="s">
        <v>166</v>
      </c>
      <c r="K47">
        <v>0</v>
      </c>
      <c r="L47">
        <v>0</v>
      </c>
      <c r="M47">
        <v>0</v>
      </c>
      <c r="N47">
        <v>0</v>
      </c>
      <c r="O47" t="s">
        <v>83</v>
      </c>
    </row>
    <row r="48" spans="3:15">
      <c r="C48" s="25">
        <v>42065.868171296293</v>
      </c>
      <c r="D48" s="2">
        <v>42065.868171296293</v>
      </c>
      <c r="E48" t="s">
        <v>19</v>
      </c>
      <c r="F48">
        <v>2</v>
      </c>
      <c r="G48">
        <v>139.40158</v>
      </c>
      <c r="H48">
        <v>35.568950000000001</v>
      </c>
      <c r="I48" t="s">
        <v>158</v>
      </c>
      <c r="J48" t="s">
        <v>195</v>
      </c>
      <c r="K48" t="s">
        <v>82</v>
      </c>
      <c r="L48">
        <v>0</v>
      </c>
      <c r="M48">
        <v>0</v>
      </c>
      <c r="N48">
        <v>0</v>
      </c>
      <c r="O48" t="s">
        <v>83</v>
      </c>
    </row>
    <row r="49" spans="3:15">
      <c r="E49" t="s">
        <v>98</v>
      </c>
      <c r="F49">
        <v>0</v>
      </c>
      <c r="G49">
        <v>0</v>
      </c>
      <c r="H49">
        <v>0</v>
      </c>
      <c r="J49" t="s">
        <v>196</v>
      </c>
      <c r="K49">
        <v>0</v>
      </c>
      <c r="L49">
        <v>0</v>
      </c>
      <c r="M49">
        <v>0</v>
      </c>
      <c r="N49">
        <v>0</v>
      </c>
      <c r="O49" t="s">
        <v>83</v>
      </c>
    </row>
    <row r="50" spans="3:15">
      <c r="C50" s="25">
        <v>42065.86818287037</v>
      </c>
      <c r="D50" s="2">
        <v>42065.86818287037</v>
      </c>
      <c r="E50" t="s">
        <v>59</v>
      </c>
      <c r="F50">
        <v>0</v>
      </c>
      <c r="G50">
        <v>0</v>
      </c>
      <c r="H50">
        <v>0</v>
      </c>
      <c r="K50">
        <v>0</v>
      </c>
      <c r="L50" t="s">
        <v>203</v>
      </c>
      <c r="N50">
        <v>0</v>
      </c>
      <c r="O50" t="s">
        <v>354</v>
      </c>
    </row>
    <row r="51" spans="3:15">
      <c r="E51" t="s">
        <v>98</v>
      </c>
      <c r="F51">
        <v>0</v>
      </c>
      <c r="G51">
        <v>0</v>
      </c>
      <c r="H51">
        <v>0</v>
      </c>
      <c r="J51" t="s">
        <v>198</v>
      </c>
      <c r="K51">
        <v>0</v>
      </c>
      <c r="L51">
        <v>0</v>
      </c>
      <c r="M51">
        <v>0</v>
      </c>
      <c r="N51">
        <v>0</v>
      </c>
      <c r="O51" t="s">
        <v>83</v>
      </c>
    </row>
    <row r="52" spans="3:15">
      <c r="C52" s="25">
        <v>42065.868206018517</v>
      </c>
      <c r="D52" s="2">
        <v>42065.868206018517</v>
      </c>
      <c r="E52" t="s">
        <v>59</v>
      </c>
      <c r="F52">
        <v>0</v>
      </c>
      <c r="G52">
        <v>0</v>
      </c>
      <c r="H52">
        <v>0</v>
      </c>
      <c r="K52">
        <v>0</v>
      </c>
      <c r="L52" t="s">
        <v>165</v>
      </c>
      <c r="N52">
        <v>0</v>
      </c>
      <c r="O52" t="s">
        <v>355</v>
      </c>
    </row>
    <row r="53" spans="3:15">
      <c r="C53" s="25">
        <v>42065.868333333332</v>
      </c>
      <c r="D53" s="2">
        <v>42065.868333333332</v>
      </c>
      <c r="E53" t="s">
        <v>98</v>
      </c>
      <c r="F53">
        <v>0</v>
      </c>
      <c r="G53">
        <v>0</v>
      </c>
      <c r="H53">
        <v>0</v>
      </c>
      <c r="J53" t="s">
        <v>204</v>
      </c>
      <c r="K53">
        <v>0</v>
      </c>
      <c r="L53">
        <v>0</v>
      </c>
      <c r="M53">
        <v>0</v>
      </c>
      <c r="N53">
        <v>0</v>
      </c>
      <c r="O53" t="s">
        <v>83</v>
      </c>
    </row>
    <row r="54" spans="3:15">
      <c r="C54" s="25">
        <v>42065.868344907409</v>
      </c>
      <c r="D54" s="2">
        <v>42065.868344907409</v>
      </c>
      <c r="E54" t="s">
        <v>98</v>
      </c>
      <c r="F54">
        <v>0</v>
      </c>
      <c r="G54">
        <v>0</v>
      </c>
      <c r="H54">
        <v>0</v>
      </c>
      <c r="J54" t="s">
        <v>206</v>
      </c>
      <c r="K54">
        <v>0</v>
      </c>
      <c r="L54">
        <v>0</v>
      </c>
      <c r="M54">
        <v>0</v>
      </c>
      <c r="N54">
        <v>0</v>
      </c>
      <c r="O54" t="s">
        <v>83</v>
      </c>
    </row>
    <row r="55" spans="3:15">
      <c r="C55" s="25">
        <v>42065.868356481478</v>
      </c>
      <c r="D55" s="2">
        <v>42065.868356481478</v>
      </c>
      <c r="E55" t="s">
        <v>19</v>
      </c>
      <c r="F55">
        <v>11</v>
      </c>
      <c r="G55">
        <v>139.40163000000001</v>
      </c>
      <c r="H55">
        <v>35.569049999999997</v>
      </c>
      <c r="I55" t="s">
        <v>209</v>
      </c>
      <c r="J55" t="s">
        <v>210</v>
      </c>
      <c r="K55" t="s">
        <v>82</v>
      </c>
      <c r="L55">
        <v>0</v>
      </c>
      <c r="M55">
        <v>0</v>
      </c>
      <c r="N55">
        <v>0</v>
      </c>
      <c r="O55" t="s">
        <v>83</v>
      </c>
    </row>
    <row r="56" spans="3:15">
      <c r="E56" t="s">
        <v>98</v>
      </c>
      <c r="F56">
        <v>0</v>
      </c>
      <c r="G56">
        <v>0</v>
      </c>
      <c r="H56">
        <v>0</v>
      </c>
      <c r="J56" t="s">
        <v>206</v>
      </c>
      <c r="K56">
        <v>0</v>
      </c>
      <c r="L56">
        <v>0</v>
      </c>
      <c r="M56">
        <v>0</v>
      </c>
      <c r="N56">
        <v>0</v>
      </c>
      <c r="O56" t="s">
        <v>83</v>
      </c>
    </row>
    <row r="57" spans="3:15">
      <c r="C57" s="25">
        <v>42065.868391203701</v>
      </c>
      <c r="D57" s="2">
        <v>42065.868391203701</v>
      </c>
      <c r="E57" t="s">
        <v>59</v>
      </c>
      <c r="F57">
        <v>0</v>
      </c>
      <c r="G57">
        <v>0</v>
      </c>
      <c r="H57">
        <v>0</v>
      </c>
      <c r="K57">
        <v>0</v>
      </c>
      <c r="L57" t="s">
        <v>165</v>
      </c>
      <c r="N57">
        <v>0</v>
      </c>
      <c r="O57" t="s">
        <v>356</v>
      </c>
    </row>
    <row r="58" spans="3:15">
      <c r="C58" s="25">
        <v>42065.868402777778</v>
      </c>
      <c r="D58" s="2">
        <v>42065.868402777778</v>
      </c>
      <c r="E58" t="s">
        <v>59</v>
      </c>
      <c r="F58">
        <v>0</v>
      </c>
      <c r="G58">
        <v>0</v>
      </c>
      <c r="H58">
        <v>0</v>
      </c>
      <c r="K58">
        <v>0</v>
      </c>
      <c r="L58" t="s">
        <v>203</v>
      </c>
      <c r="N58">
        <v>0</v>
      </c>
      <c r="O58" t="s">
        <v>357</v>
      </c>
    </row>
    <row r="59" spans="3:15">
      <c r="E59" t="s">
        <v>19</v>
      </c>
      <c r="F59">
        <v>16</v>
      </c>
      <c r="G59">
        <v>139.40152</v>
      </c>
      <c r="H59">
        <v>35.56915</v>
      </c>
      <c r="I59" t="s">
        <v>158</v>
      </c>
      <c r="J59" t="s">
        <v>211</v>
      </c>
      <c r="K59" t="s">
        <v>82</v>
      </c>
      <c r="L59">
        <v>0</v>
      </c>
      <c r="M59">
        <v>0</v>
      </c>
      <c r="N59">
        <v>0</v>
      </c>
      <c r="O59" t="s">
        <v>83</v>
      </c>
    </row>
    <row r="60" spans="3:15">
      <c r="C60" s="25">
        <v>42065.868483796294</v>
      </c>
      <c r="D60" s="2">
        <v>42065.868483796294</v>
      </c>
      <c r="E60" t="s">
        <v>59</v>
      </c>
      <c r="F60">
        <v>0</v>
      </c>
      <c r="G60">
        <v>0</v>
      </c>
      <c r="H60">
        <v>0</v>
      </c>
      <c r="K60">
        <v>0</v>
      </c>
      <c r="L60" t="s">
        <v>165</v>
      </c>
      <c r="N60">
        <v>0</v>
      </c>
      <c r="O60" t="s">
        <v>358</v>
      </c>
    </row>
    <row r="61" spans="3:15">
      <c r="E61" t="s">
        <v>98</v>
      </c>
      <c r="F61">
        <v>0</v>
      </c>
      <c r="G61">
        <v>0</v>
      </c>
      <c r="H61">
        <v>0</v>
      </c>
      <c r="J61" t="s">
        <v>206</v>
      </c>
      <c r="K61">
        <v>0</v>
      </c>
      <c r="L61">
        <v>0</v>
      </c>
      <c r="M61">
        <v>0</v>
      </c>
      <c r="N61">
        <v>0</v>
      </c>
      <c r="O61" t="s">
        <v>83</v>
      </c>
    </row>
    <row r="62" spans="3:15">
      <c r="C62" s="25">
        <v>42065.868495370371</v>
      </c>
      <c r="D62" s="2">
        <v>42065.868495370371</v>
      </c>
      <c r="E62" t="s">
        <v>19</v>
      </c>
      <c r="F62">
        <v>5</v>
      </c>
      <c r="G62">
        <v>139.40134</v>
      </c>
      <c r="H62">
        <v>35.569279999999999</v>
      </c>
      <c r="I62" t="s">
        <v>213</v>
      </c>
      <c r="J62" t="s">
        <v>211</v>
      </c>
      <c r="K62" t="s">
        <v>82</v>
      </c>
      <c r="L62">
        <v>0</v>
      </c>
      <c r="M62">
        <v>0</v>
      </c>
      <c r="N62">
        <v>0</v>
      </c>
      <c r="O62" t="s">
        <v>83</v>
      </c>
    </row>
    <row r="63" spans="3:15">
      <c r="C63" s="25">
        <v>42065.868506944447</v>
      </c>
      <c r="D63" s="2">
        <v>42065.868506944447</v>
      </c>
      <c r="E63" t="s">
        <v>59</v>
      </c>
      <c r="F63">
        <v>0</v>
      </c>
      <c r="G63">
        <v>0</v>
      </c>
      <c r="H63">
        <v>0</v>
      </c>
      <c r="K63">
        <v>0</v>
      </c>
      <c r="L63" t="s">
        <v>165</v>
      </c>
      <c r="N63">
        <v>0</v>
      </c>
      <c r="O63" t="s">
        <v>359</v>
      </c>
    </row>
    <row r="64" spans="3:15">
      <c r="C64" s="25">
        <v>42065.868541666663</v>
      </c>
      <c r="D64" s="2">
        <v>42065.868541666663</v>
      </c>
      <c r="E64" t="s">
        <v>59</v>
      </c>
      <c r="F64">
        <v>0</v>
      </c>
      <c r="G64">
        <v>0</v>
      </c>
      <c r="H64">
        <v>0</v>
      </c>
      <c r="K64">
        <v>0</v>
      </c>
      <c r="L64" t="s">
        <v>165</v>
      </c>
      <c r="N64">
        <v>0</v>
      </c>
      <c r="O64" t="s">
        <v>360</v>
      </c>
    </row>
    <row r="65" spans="3:15">
      <c r="C65" s="25">
        <v>42065.868576388886</v>
      </c>
      <c r="D65" s="2">
        <v>42065.868576388886</v>
      </c>
      <c r="E65" t="s">
        <v>19</v>
      </c>
      <c r="F65">
        <v>16</v>
      </c>
      <c r="G65">
        <v>139.40117000000001</v>
      </c>
      <c r="H65">
        <v>35.569479999999999</v>
      </c>
      <c r="I65" t="s">
        <v>213</v>
      </c>
      <c r="J65" t="s">
        <v>211</v>
      </c>
      <c r="K65" t="s">
        <v>82</v>
      </c>
      <c r="L65">
        <v>0</v>
      </c>
      <c r="M65">
        <v>0</v>
      </c>
      <c r="N65">
        <v>0</v>
      </c>
      <c r="O65" t="s">
        <v>83</v>
      </c>
    </row>
    <row r="66" spans="3:15">
      <c r="C66" s="25">
        <v>42065.868657407409</v>
      </c>
      <c r="D66" s="2">
        <v>42065.868657407409</v>
      </c>
      <c r="E66" t="s">
        <v>19</v>
      </c>
      <c r="F66">
        <v>0</v>
      </c>
      <c r="G66">
        <v>139.40102999999999</v>
      </c>
      <c r="H66">
        <v>35.569609999999997</v>
      </c>
      <c r="I66" t="s">
        <v>214</v>
      </c>
      <c r="J66" t="s">
        <v>195</v>
      </c>
      <c r="K66" t="s">
        <v>82</v>
      </c>
      <c r="L66">
        <v>0</v>
      </c>
      <c r="M66">
        <v>0</v>
      </c>
      <c r="N66">
        <v>0</v>
      </c>
      <c r="O66" t="s">
        <v>83</v>
      </c>
    </row>
    <row r="67" spans="3:15">
      <c r="C67" s="25">
        <v>42065.868668981479</v>
      </c>
      <c r="D67" s="2">
        <v>42065.868668981479</v>
      </c>
      <c r="E67" t="s">
        <v>19</v>
      </c>
      <c r="F67">
        <v>2</v>
      </c>
      <c r="G67">
        <v>139.40102999999999</v>
      </c>
      <c r="H67">
        <v>35.569609999999997</v>
      </c>
      <c r="I67" t="s">
        <v>214</v>
      </c>
      <c r="J67" t="s">
        <v>195</v>
      </c>
      <c r="K67" t="s">
        <v>82</v>
      </c>
      <c r="L67">
        <v>0</v>
      </c>
      <c r="M67">
        <v>0</v>
      </c>
      <c r="N67">
        <v>0</v>
      </c>
      <c r="O67" t="s">
        <v>83</v>
      </c>
    </row>
    <row r="68" spans="3:15">
      <c r="C68" s="25">
        <v>42065.868703703702</v>
      </c>
      <c r="D68" s="2">
        <v>42065.868703703702</v>
      </c>
      <c r="E68" t="s">
        <v>59</v>
      </c>
      <c r="F68">
        <v>0</v>
      </c>
      <c r="G68">
        <v>0</v>
      </c>
      <c r="H68">
        <v>0</v>
      </c>
      <c r="K68">
        <v>0</v>
      </c>
      <c r="L68" t="s">
        <v>165</v>
      </c>
      <c r="N68">
        <v>0</v>
      </c>
      <c r="O68" t="s">
        <v>361</v>
      </c>
    </row>
    <row r="69" spans="3:15">
      <c r="C69" s="25">
        <v>42065.868750000001</v>
      </c>
      <c r="D69" s="2">
        <v>42065.868750000001</v>
      </c>
      <c r="E69" t="s">
        <v>19</v>
      </c>
      <c r="F69">
        <v>13</v>
      </c>
      <c r="G69">
        <v>139.40101999999999</v>
      </c>
      <c r="H69">
        <v>35.569690000000001</v>
      </c>
      <c r="I69" t="s">
        <v>215</v>
      </c>
      <c r="J69" t="s">
        <v>210</v>
      </c>
      <c r="K69" t="s">
        <v>82</v>
      </c>
      <c r="L69">
        <v>0</v>
      </c>
      <c r="M69">
        <v>0</v>
      </c>
      <c r="N69">
        <v>0</v>
      </c>
      <c r="O69" t="s">
        <v>83</v>
      </c>
    </row>
    <row r="70" spans="3:15">
      <c r="C70" s="25">
        <v>42065.868773148148</v>
      </c>
      <c r="D70" s="2">
        <v>42065.868773148148</v>
      </c>
      <c r="E70" t="s">
        <v>59</v>
      </c>
      <c r="F70">
        <v>0</v>
      </c>
      <c r="G70">
        <v>0</v>
      </c>
      <c r="H70">
        <v>0</v>
      </c>
      <c r="K70">
        <v>0</v>
      </c>
      <c r="L70" t="s">
        <v>165</v>
      </c>
      <c r="N70">
        <v>0</v>
      </c>
      <c r="O70" t="s">
        <v>362</v>
      </c>
    </row>
    <row r="71" spans="3:15">
      <c r="C71" s="25">
        <v>42065.86886574074</v>
      </c>
      <c r="D71" s="2">
        <v>42065.86886574074</v>
      </c>
      <c r="E71" t="s">
        <v>59</v>
      </c>
      <c r="F71">
        <v>0</v>
      </c>
      <c r="G71">
        <v>0</v>
      </c>
      <c r="H71">
        <v>0</v>
      </c>
      <c r="K71">
        <v>0</v>
      </c>
      <c r="L71" t="s">
        <v>165</v>
      </c>
      <c r="N71">
        <v>0</v>
      </c>
      <c r="O71" t="s">
        <v>363</v>
      </c>
    </row>
    <row r="72" spans="3:15">
      <c r="L72" t="s">
        <v>217</v>
      </c>
      <c r="N72">
        <v>0</v>
      </c>
      <c r="O72" t="s">
        <v>364</v>
      </c>
    </row>
    <row r="73" spans="3:15">
      <c r="E73" t="s">
        <v>19</v>
      </c>
      <c r="F73">
        <v>41</v>
      </c>
      <c r="G73">
        <v>139.40167</v>
      </c>
      <c r="H73">
        <v>35.5702</v>
      </c>
      <c r="I73" t="s">
        <v>215</v>
      </c>
      <c r="J73" t="s">
        <v>211</v>
      </c>
      <c r="K73" t="s">
        <v>82</v>
      </c>
      <c r="L73">
        <v>0</v>
      </c>
      <c r="M73">
        <v>0</v>
      </c>
      <c r="N73">
        <v>0</v>
      </c>
      <c r="O73" t="s">
        <v>83</v>
      </c>
    </row>
    <row r="74" spans="3:15">
      <c r="C74" s="25">
        <v>42065.868969907409</v>
      </c>
      <c r="D74" s="2">
        <v>42065.868969907409</v>
      </c>
      <c r="E74" t="s">
        <v>98</v>
      </c>
      <c r="F74">
        <v>0</v>
      </c>
      <c r="G74">
        <v>0</v>
      </c>
      <c r="H74">
        <v>0</v>
      </c>
      <c r="J74" t="s">
        <v>218</v>
      </c>
      <c r="K74">
        <v>0</v>
      </c>
      <c r="L74">
        <v>0</v>
      </c>
      <c r="M74">
        <v>0</v>
      </c>
      <c r="N74">
        <v>0</v>
      </c>
      <c r="O74" t="s">
        <v>83</v>
      </c>
    </row>
    <row r="75" spans="3:15">
      <c r="J75" t="s">
        <v>220</v>
      </c>
      <c r="K75">
        <v>0</v>
      </c>
      <c r="L75">
        <v>0</v>
      </c>
      <c r="M75">
        <v>0</v>
      </c>
      <c r="N75">
        <v>0</v>
      </c>
      <c r="O75" t="s">
        <v>83</v>
      </c>
    </row>
    <row r="76" spans="3:15">
      <c r="C76" s="25">
        <v>42065.868981481479</v>
      </c>
      <c r="D76" s="2">
        <v>42065.868981481479</v>
      </c>
      <c r="E76" t="s">
        <v>59</v>
      </c>
      <c r="F76">
        <v>0</v>
      </c>
      <c r="G76">
        <v>0</v>
      </c>
      <c r="H76">
        <v>0</v>
      </c>
      <c r="K76">
        <v>0</v>
      </c>
      <c r="L76" t="s">
        <v>217</v>
      </c>
      <c r="N76">
        <v>0</v>
      </c>
      <c r="O76" t="s">
        <v>365</v>
      </c>
    </row>
    <row r="77" spans="3:15">
      <c r="C77" s="25">
        <v>42065.869004629632</v>
      </c>
      <c r="D77" s="2">
        <v>42065.869004629632</v>
      </c>
      <c r="E77" t="s">
        <v>98</v>
      </c>
      <c r="F77">
        <v>0</v>
      </c>
      <c r="G77">
        <v>0</v>
      </c>
      <c r="H77">
        <v>0</v>
      </c>
      <c r="J77" t="s">
        <v>221</v>
      </c>
      <c r="K77">
        <v>0</v>
      </c>
      <c r="L77">
        <v>0</v>
      </c>
      <c r="M77">
        <v>0</v>
      </c>
      <c r="N77">
        <v>0</v>
      </c>
      <c r="O77" t="s">
        <v>83</v>
      </c>
    </row>
    <row r="78" spans="3:15">
      <c r="C78" s="25">
        <v>42065.869039351855</v>
      </c>
      <c r="D78" s="2">
        <v>42065.869039351855</v>
      </c>
      <c r="E78" t="s">
        <v>59</v>
      </c>
      <c r="F78">
        <v>0</v>
      </c>
      <c r="G78">
        <v>0</v>
      </c>
      <c r="H78">
        <v>0</v>
      </c>
      <c r="K78">
        <v>0</v>
      </c>
      <c r="L78" t="s">
        <v>165</v>
      </c>
      <c r="N78">
        <v>0</v>
      </c>
      <c r="O78" t="s">
        <v>366</v>
      </c>
    </row>
    <row r="79" spans="3:15">
      <c r="C79" s="25">
        <v>42065.869131944448</v>
      </c>
      <c r="D79" s="2">
        <v>42065.869131944448</v>
      </c>
      <c r="E79" t="s">
        <v>19</v>
      </c>
      <c r="F79">
        <v>44</v>
      </c>
      <c r="G79">
        <v>139.40378000000001</v>
      </c>
      <c r="H79">
        <v>35.571919999999999</v>
      </c>
      <c r="I79" t="s">
        <v>223</v>
      </c>
      <c r="J79" t="s">
        <v>224</v>
      </c>
      <c r="K79" t="s">
        <v>82</v>
      </c>
      <c r="L79">
        <v>0</v>
      </c>
      <c r="M79">
        <v>0</v>
      </c>
      <c r="N79">
        <v>0</v>
      </c>
      <c r="O79" t="s">
        <v>83</v>
      </c>
    </row>
    <row r="80" spans="3:15">
      <c r="C80" s="25">
        <v>42065.869259259256</v>
      </c>
      <c r="D80" s="2">
        <v>42065.869259259256</v>
      </c>
      <c r="E80" t="s">
        <v>59</v>
      </c>
      <c r="F80">
        <v>0</v>
      </c>
      <c r="G80">
        <v>0</v>
      </c>
      <c r="H80">
        <v>0</v>
      </c>
      <c r="K80">
        <v>0</v>
      </c>
      <c r="L80" t="s">
        <v>165</v>
      </c>
      <c r="N80">
        <v>0</v>
      </c>
      <c r="O80" t="s">
        <v>367</v>
      </c>
    </row>
    <row r="81" spans="3:15">
      <c r="C81" s="25">
        <v>42065.869328703702</v>
      </c>
      <c r="D81" s="2">
        <v>42065.869328703702</v>
      </c>
      <c r="E81" t="s">
        <v>19</v>
      </c>
      <c r="F81">
        <v>50</v>
      </c>
      <c r="G81">
        <v>139.40544</v>
      </c>
      <c r="H81">
        <v>35.573329999999999</v>
      </c>
      <c r="I81" t="s">
        <v>225</v>
      </c>
      <c r="J81" t="s">
        <v>211</v>
      </c>
      <c r="K81" t="s">
        <v>82</v>
      </c>
      <c r="L81">
        <v>0</v>
      </c>
      <c r="M81">
        <v>0</v>
      </c>
      <c r="N81">
        <v>0</v>
      </c>
      <c r="O81" t="s">
        <v>83</v>
      </c>
    </row>
    <row r="82" spans="3:15">
      <c r="C82" s="25">
        <v>42065.869375000002</v>
      </c>
      <c r="D82" s="2">
        <v>42065.869375000002</v>
      </c>
      <c r="E82" t="s">
        <v>19</v>
      </c>
      <c r="F82">
        <v>41</v>
      </c>
      <c r="G82">
        <v>139.40582000000001</v>
      </c>
      <c r="H82">
        <v>35.573630000000001</v>
      </c>
      <c r="I82" t="s">
        <v>223</v>
      </c>
      <c r="J82" t="s">
        <v>211</v>
      </c>
      <c r="K82" t="s">
        <v>82</v>
      </c>
      <c r="L82">
        <v>0</v>
      </c>
      <c r="M82">
        <v>0</v>
      </c>
      <c r="N82">
        <v>0</v>
      </c>
      <c r="O82" t="s">
        <v>83</v>
      </c>
    </row>
    <row r="83" spans="3:15">
      <c r="C83" s="25">
        <v>42065.869560185187</v>
      </c>
      <c r="D83" s="2">
        <v>42065.869560185187</v>
      </c>
      <c r="E83" t="s">
        <v>19</v>
      </c>
      <c r="F83">
        <v>42</v>
      </c>
      <c r="G83">
        <v>139.40718000000001</v>
      </c>
      <c r="H83">
        <v>35.574910000000003</v>
      </c>
      <c r="I83" t="s">
        <v>223</v>
      </c>
      <c r="J83" t="s">
        <v>211</v>
      </c>
      <c r="K83" t="s">
        <v>82</v>
      </c>
      <c r="L83">
        <v>0</v>
      </c>
      <c r="M83">
        <v>0</v>
      </c>
      <c r="N83">
        <v>0</v>
      </c>
      <c r="O83" t="s">
        <v>83</v>
      </c>
    </row>
    <row r="84" spans="3:15">
      <c r="C84" s="25">
        <v>42065.869675925926</v>
      </c>
      <c r="D84" s="2">
        <v>42065.869675925926</v>
      </c>
      <c r="E84" t="s">
        <v>59</v>
      </c>
      <c r="F84">
        <v>0</v>
      </c>
      <c r="G84">
        <v>0</v>
      </c>
      <c r="H84">
        <v>0</v>
      </c>
      <c r="K84">
        <v>0</v>
      </c>
      <c r="L84" t="s">
        <v>217</v>
      </c>
      <c r="N84">
        <v>0</v>
      </c>
      <c r="O84" t="s">
        <v>368</v>
      </c>
    </row>
    <row r="85" spans="3:15">
      <c r="C85" s="25">
        <v>42065.869756944441</v>
      </c>
      <c r="D85" s="2">
        <v>42065.869756944441</v>
      </c>
      <c r="E85" t="s">
        <v>19</v>
      </c>
      <c r="F85">
        <v>29</v>
      </c>
      <c r="G85">
        <v>139.40839</v>
      </c>
      <c r="H85">
        <v>35.575989999999997</v>
      </c>
      <c r="I85" t="s">
        <v>226</v>
      </c>
      <c r="J85" t="s">
        <v>211</v>
      </c>
      <c r="K85" t="s">
        <v>82</v>
      </c>
      <c r="L85">
        <v>0</v>
      </c>
      <c r="M85">
        <v>0</v>
      </c>
      <c r="N85">
        <v>0</v>
      </c>
      <c r="O85" t="s">
        <v>83</v>
      </c>
    </row>
    <row r="86" spans="3:15">
      <c r="C86" s="25">
        <v>42065.869803240741</v>
      </c>
      <c r="D86" s="2">
        <v>42065.869803240741</v>
      </c>
      <c r="E86" t="s">
        <v>59</v>
      </c>
      <c r="F86">
        <v>0</v>
      </c>
      <c r="G86">
        <v>0</v>
      </c>
      <c r="H86">
        <v>0</v>
      </c>
      <c r="K86">
        <v>0</v>
      </c>
      <c r="L86" t="s">
        <v>217</v>
      </c>
      <c r="N86">
        <v>0</v>
      </c>
      <c r="O86" t="s">
        <v>365</v>
      </c>
    </row>
    <row r="87" spans="3:15">
      <c r="C87" s="25">
        <v>42065.869837962964</v>
      </c>
      <c r="D87" s="2">
        <v>42065.869837962964</v>
      </c>
      <c r="E87" t="s">
        <v>19</v>
      </c>
      <c r="F87">
        <v>0</v>
      </c>
      <c r="G87">
        <v>139.40857</v>
      </c>
      <c r="H87">
        <v>35.576140000000002</v>
      </c>
      <c r="I87" t="s">
        <v>226</v>
      </c>
      <c r="J87" t="s">
        <v>195</v>
      </c>
      <c r="K87" t="s">
        <v>82</v>
      </c>
      <c r="L87">
        <v>0</v>
      </c>
      <c r="M87">
        <v>0</v>
      </c>
      <c r="N87">
        <v>0</v>
      </c>
      <c r="O87" t="s">
        <v>83</v>
      </c>
    </row>
    <row r="88" spans="3:15">
      <c r="C88" s="25">
        <v>42065.869849537034</v>
      </c>
      <c r="D88" s="2">
        <v>42065.869849537034</v>
      </c>
      <c r="E88" t="s">
        <v>19</v>
      </c>
      <c r="F88">
        <v>3</v>
      </c>
      <c r="G88">
        <v>139.40857</v>
      </c>
      <c r="H88">
        <v>35.576140000000002</v>
      </c>
      <c r="I88" t="s">
        <v>226</v>
      </c>
      <c r="J88" t="s">
        <v>195</v>
      </c>
      <c r="K88" t="s">
        <v>82</v>
      </c>
      <c r="L88">
        <v>0</v>
      </c>
      <c r="M88">
        <v>0</v>
      </c>
      <c r="N88">
        <v>0</v>
      </c>
      <c r="O88" t="s">
        <v>83</v>
      </c>
    </row>
    <row r="89" spans="3:15">
      <c r="C89" s="25">
        <v>42065.86990740741</v>
      </c>
      <c r="D89" s="2">
        <v>42065.86990740741</v>
      </c>
      <c r="E89" t="s">
        <v>59</v>
      </c>
      <c r="F89">
        <v>0</v>
      </c>
      <c r="G89">
        <v>0</v>
      </c>
      <c r="H89">
        <v>0</v>
      </c>
      <c r="K89">
        <v>0</v>
      </c>
      <c r="L89" t="s">
        <v>165</v>
      </c>
      <c r="N89">
        <v>0</v>
      </c>
      <c r="O89" t="s">
        <v>369</v>
      </c>
    </row>
    <row r="90" spans="3:15">
      <c r="L90" t="s">
        <v>217</v>
      </c>
      <c r="N90">
        <v>0</v>
      </c>
      <c r="O90" t="s">
        <v>370</v>
      </c>
    </row>
    <row r="91" spans="3:15">
      <c r="C91" s="25">
        <v>42065.86991898148</v>
      </c>
      <c r="D91" s="2">
        <v>42065.86991898148</v>
      </c>
      <c r="E91" t="s">
        <v>19</v>
      </c>
      <c r="F91">
        <v>26</v>
      </c>
      <c r="G91">
        <v>139.40873999999999</v>
      </c>
      <c r="H91">
        <v>35.57629</v>
      </c>
      <c r="I91" t="s">
        <v>226</v>
      </c>
      <c r="J91" t="s">
        <v>211</v>
      </c>
      <c r="K91" t="s">
        <v>82</v>
      </c>
      <c r="L91">
        <v>0</v>
      </c>
      <c r="M91">
        <v>0</v>
      </c>
      <c r="N91">
        <v>0</v>
      </c>
      <c r="O91" t="s">
        <v>83</v>
      </c>
    </row>
    <row r="92" spans="3:15">
      <c r="C92" s="25">
        <v>42065.870023148149</v>
      </c>
      <c r="D92" s="2">
        <v>42065.870023148149</v>
      </c>
      <c r="E92" t="s">
        <v>59</v>
      </c>
      <c r="F92">
        <v>0</v>
      </c>
      <c r="G92">
        <v>0</v>
      </c>
      <c r="H92">
        <v>0</v>
      </c>
      <c r="K92">
        <v>0</v>
      </c>
      <c r="L92" t="s">
        <v>203</v>
      </c>
      <c r="N92">
        <v>0</v>
      </c>
      <c r="O92" t="s">
        <v>371</v>
      </c>
    </row>
    <row r="93" spans="3:15">
      <c r="E93" t="s">
        <v>19</v>
      </c>
      <c r="F93">
        <v>31</v>
      </c>
      <c r="G93">
        <v>139.40929</v>
      </c>
      <c r="H93">
        <v>35.576810000000002</v>
      </c>
      <c r="I93" t="s">
        <v>226</v>
      </c>
      <c r="J93" t="s">
        <v>211</v>
      </c>
      <c r="K93" t="s">
        <v>82</v>
      </c>
      <c r="L93">
        <v>0</v>
      </c>
      <c r="M93">
        <v>0</v>
      </c>
      <c r="N93">
        <v>0</v>
      </c>
      <c r="O93" t="s">
        <v>83</v>
      </c>
    </row>
    <row r="94" spans="3:15">
      <c r="C94" s="25">
        <v>42065.870138888888</v>
      </c>
      <c r="D94" s="2">
        <v>42065.870138888888</v>
      </c>
      <c r="E94" t="s">
        <v>59</v>
      </c>
      <c r="F94">
        <v>0</v>
      </c>
      <c r="G94">
        <v>0</v>
      </c>
      <c r="H94">
        <v>0</v>
      </c>
      <c r="K94">
        <v>0</v>
      </c>
      <c r="L94" t="s">
        <v>217</v>
      </c>
      <c r="N94">
        <v>0</v>
      </c>
      <c r="O94" t="s">
        <v>372</v>
      </c>
    </row>
    <row r="95" spans="3:15">
      <c r="C95" s="25">
        <v>42065.870185185187</v>
      </c>
      <c r="D95" s="2">
        <v>42065.870185185187</v>
      </c>
      <c r="E95" t="s">
        <v>19</v>
      </c>
      <c r="F95">
        <v>0</v>
      </c>
      <c r="G95">
        <v>139.40984</v>
      </c>
      <c r="H95">
        <v>35.577289999999998</v>
      </c>
      <c r="I95" t="s">
        <v>226</v>
      </c>
      <c r="J95" t="s">
        <v>195</v>
      </c>
      <c r="K95" t="s">
        <v>82</v>
      </c>
      <c r="L95">
        <v>0</v>
      </c>
      <c r="M95">
        <v>0</v>
      </c>
      <c r="N95">
        <v>0</v>
      </c>
      <c r="O95" t="s">
        <v>83</v>
      </c>
    </row>
    <row r="96" spans="3:15">
      <c r="C96" s="25">
        <v>42065.87027777778</v>
      </c>
      <c r="D96" s="2">
        <v>42065.87027777778</v>
      </c>
      <c r="E96" t="s">
        <v>19</v>
      </c>
      <c r="F96">
        <v>0</v>
      </c>
      <c r="G96">
        <v>139.40987000000001</v>
      </c>
      <c r="H96">
        <v>35.57732</v>
      </c>
      <c r="I96" t="s">
        <v>226</v>
      </c>
      <c r="J96" t="s">
        <v>224</v>
      </c>
      <c r="K96" t="s">
        <v>82</v>
      </c>
      <c r="L96">
        <v>0</v>
      </c>
      <c r="M96">
        <v>0</v>
      </c>
      <c r="N96">
        <v>0</v>
      </c>
      <c r="O96" t="s">
        <v>83</v>
      </c>
    </row>
    <row r="97" spans="3:15">
      <c r="C97" s="25">
        <v>42065.870370370372</v>
      </c>
      <c r="D97" s="2">
        <v>42065.870370370372</v>
      </c>
      <c r="E97" t="s">
        <v>59</v>
      </c>
      <c r="F97">
        <v>0</v>
      </c>
      <c r="G97">
        <v>0</v>
      </c>
      <c r="H97">
        <v>0</v>
      </c>
      <c r="K97">
        <v>0</v>
      </c>
      <c r="L97" t="s">
        <v>165</v>
      </c>
      <c r="N97">
        <v>0</v>
      </c>
      <c r="O97" t="s">
        <v>373</v>
      </c>
    </row>
    <row r="98" spans="3:15">
      <c r="C98" s="25">
        <v>42065.870381944442</v>
      </c>
      <c r="D98" s="2">
        <v>42065.870381944442</v>
      </c>
      <c r="E98" t="s">
        <v>19</v>
      </c>
      <c r="F98">
        <v>1</v>
      </c>
      <c r="G98">
        <v>139.40987000000001</v>
      </c>
      <c r="H98">
        <v>35.57732</v>
      </c>
      <c r="I98" t="s">
        <v>226</v>
      </c>
      <c r="J98" t="s">
        <v>195</v>
      </c>
      <c r="K98" t="s">
        <v>82</v>
      </c>
      <c r="L98">
        <v>0</v>
      </c>
      <c r="M98">
        <v>0</v>
      </c>
      <c r="N98">
        <v>0</v>
      </c>
      <c r="O98" t="s">
        <v>83</v>
      </c>
    </row>
    <row r="99" spans="3:15">
      <c r="C99" s="25">
        <v>42065.870428240742</v>
      </c>
      <c r="D99" s="2">
        <v>42065.870428240742</v>
      </c>
      <c r="E99" t="s">
        <v>59</v>
      </c>
      <c r="F99">
        <v>0</v>
      </c>
      <c r="G99">
        <v>0</v>
      </c>
      <c r="H99">
        <v>0</v>
      </c>
      <c r="K99">
        <v>0</v>
      </c>
      <c r="L99" t="s">
        <v>165</v>
      </c>
      <c r="N99">
        <v>0</v>
      </c>
      <c r="O99" t="s">
        <v>374</v>
      </c>
    </row>
    <row r="100" spans="3:15">
      <c r="C100" s="25">
        <v>42065.870532407411</v>
      </c>
      <c r="D100" s="2">
        <v>42065.870532407411</v>
      </c>
      <c r="E100" t="s">
        <v>59</v>
      </c>
      <c r="F100">
        <v>0</v>
      </c>
      <c r="G100">
        <v>0</v>
      </c>
      <c r="H100">
        <v>0</v>
      </c>
      <c r="K100">
        <v>0</v>
      </c>
      <c r="L100" t="s">
        <v>165</v>
      </c>
      <c r="N100">
        <v>0</v>
      </c>
      <c r="O100" t="s">
        <v>375</v>
      </c>
    </row>
    <row r="101" spans="3:15">
      <c r="C101" s="25">
        <v>42065.87054398148</v>
      </c>
      <c r="D101" s="2">
        <v>42065.87054398148</v>
      </c>
      <c r="E101" t="s">
        <v>19</v>
      </c>
      <c r="F101">
        <v>31</v>
      </c>
      <c r="G101">
        <v>139.41046</v>
      </c>
      <c r="H101">
        <v>35.577800000000003</v>
      </c>
      <c r="I101" t="s">
        <v>227</v>
      </c>
      <c r="J101" t="s">
        <v>211</v>
      </c>
      <c r="K101" t="s">
        <v>82</v>
      </c>
      <c r="L101">
        <v>0</v>
      </c>
      <c r="M101">
        <v>0</v>
      </c>
      <c r="N101">
        <v>0</v>
      </c>
      <c r="O101" t="s">
        <v>83</v>
      </c>
    </row>
    <row r="102" spans="3:15">
      <c r="C102" s="25">
        <v>42065.870567129627</v>
      </c>
      <c r="D102" s="2">
        <v>42065.870567129627</v>
      </c>
      <c r="E102" t="s">
        <v>59</v>
      </c>
      <c r="F102">
        <v>0</v>
      </c>
      <c r="G102">
        <v>0</v>
      </c>
      <c r="H102">
        <v>0</v>
      </c>
      <c r="K102">
        <v>0</v>
      </c>
      <c r="L102" t="s">
        <v>165</v>
      </c>
      <c r="N102">
        <v>0</v>
      </c>
      <c r="O102" t="s">
        <v>376</v>
      </c>
    </row>
    <row r="103" spans="3:15">
      <c r="C103" s="25">
        <v>42065.870659722219</v>
      </c>
      <c r="D103" s="2">
        <v>42065.870659722219</v>
      </c>
      <c r="E103" t="s">
        <v>19</v>
      </c>
      <c r="F103">
        <v>0</v>
      </c>
      <c r="G103">
        <v>139.41081</v>
      </c>
      <c r="H103">
        <v>35.578139999999998</v>
      </c>
      <c r="I103" t="s">
        <v>227</v>
      </c>
      <c r="J103" t="s">
        <v>195</v>
      </c>
      <c r="K103" t="s">
        <v>82</v>
      </c>
      <c r="L103">
        <v>0</v>
      </c>
      <c r="M103">
        <v>0</v>
      </c>
      <c r="N103">
        <v>0</v>
      </c>
      <c r="O103" t="s">
        <v>83</v>
      </c>
    </row>
    <row r="104" spans="3:15">
      <c r="C104" s="25">
        <v>42065.870949074073</v>
      </c>
      <c r="D104" s="2">
        <v>42065.870949074073</v>
      </c>
      <c r="E104" t="s">
        <v>59</v>
      </c>
      <c r="F104">
        <v>0</v>
      </c>
      <c r="G104">
        <v>0</v>
      </c>
      <c r="H104">
        <v>0</v>
      </c>
      <c r="K104">
        <v>0</v>
      </c>
      <c r="L104" t="s">
        <v>217</v>
      </c>
      <c r="N104">
        <v>0</v>
      </c>
      <c r="O104" t="s">
        <v>377</v>
      </c>
    </row>
    <row r="105" spans="3:15">
      <c r="C105" s="25">
        <v>42065.87096064815</v>
      </c>
      <c r="D105" s="2">
        <v>42065.87096064815</v>
      </c>
      <c r="E105" t="s">
        <v>98</v>
      </c>
      <c r="F105">
        <v>0</v>
      </c>
      <c r="G105">
        <v>0</v>
      </c>
      <c r="H105">
        <v>0</v>
      </c>
      <c r="J105" t="s">
        <v>206</v>
      </c>
      <c r="K105">
        <v>0</v>
      </c>
      <c r="L105">
        <v>0</v>
      </c>
      <c r="M105">
        <v>0</v>
      </c>
      <c r="N105">
        <v>0</v>
      </c>
      <c r="O105" t="s">
        <v>83</v>
      </c>
    </row>
    <row r="106" spans="3:15">
      <c r="C106" s="25">
        <v>42065.871377314812</v>
      </c>
      <c r="D106" s="2">
        <v>42065.871377314812</v>
      </c>
      <c r="E106" t="s">
        <v>59</v>
      </c>
      <c r="F106">
        <v>0</v>
      </c>
      <c r="G106">
        <v>0</v>
      </c>
      <c r="H106">
        <v>0</v>
      </c>
      <c r="K106">
        <v>0</v>
      </c>
      <c r="L106" t="s">
        <v>165</v>
      </c>
      <c r="N106">
        <v>0</v>
      </c>
      <c r="O106" t="s">
        <v>378</v>
      </c>
    </row>
    <row r="107" spans="3:15">
      <c r="C107" s="25">
        <v>42065.871388888889</v>
      </c>
      <c r="D107" s="2">
        <v>42065.871388888889</v>
      </c>
      <c r="E107" t="s">
        <v>59</v>
      </c>
      <c r="F107">
        <v>0</v>
      </c>
      <c r="G107">
        <v>0</v>
      </c>
      <c r="H107">
        <v>0</v>
      </c>
      <c r="K107">
        <v>0</v>
      </c>
      <c r="L107" t="s">
        <v>165</v>
      </c>
      <c r="N107">
        <v>0</v>
      </c>
      <c r="O107" t="s">
        <v>379</v>
      </c>
    </row>
    <row r="108" spans="3:15">
      <c r="E108" t="s">
        <v>19</v>
      </c>
      <c r="F108">
        <v>0</v>
      </c>
      <c r="G108">
        <v>139.41081</v>
      </c>
      <c r="H108">
        <v>35.578139999999998</v>
      </c>
      <c r="I108" t="s">
        <v>227</v>
      </c>
      <c r="J108" t="s">
        <v>211</v>
      </c>
      <c r="K108" t="s">
        <v>82</v>
      </c>
      <c r="L108">
        <v>0</v>
      </c>
      <c r="M108">
        <v>0</v>
      </c>
      <c r="N108">
        <v>0</v>
      </c>
      <c r="O108" t="s">
        <v>83</v>
      </c>
    </row>
    <row r="109" spans="3:15">
      <c r="C109" s="25">
        <v>42065.871400462966</v>
      </c>
      <c r="D109" s="2">
        <v>42065.871400462966</v>
      </c>
      <c r="E109" t="s">
        <v>19</v>
      </c>
      <c r="F109">
        <v>7</v>
      </c>
      <c r="G109">
        <v>139.41084000000001</v>
      </c>
      <c r="H109">
        <v>35.578110000000002</v>
      </c>
      <c r="I109" t="s">
        <v>227</v>
      </c>
      <c r="J109" t="s">
        <v>195</v>
      </c>
      <c r="K109" t="s">
        <v>82</v>
      </c>
      <c r="L109">
        <v>0</v>
      </c>
      <c r="M109">
        <v>0</v>
      </c>
      <c r="N109">
        <v>0</v>
      </c>
      <c r="O109" t="s">
        <v>83</v>
      </c>
    </row>
    <row r="110" spans="3:15">
      <c r="C110" s="25">
        <v>42065.871423611112</v>
      </c>
      <c r="D110" s="2">
        <v>42065.871423611112</v>
      </c>
      <c r="E110" t="s">
        <v>19</v>
      </c>
      <c r="F110">
        <v>12</v>
      </c>
      <c r="G110">
        <v>139.41086999999999</v>
      </c>
      <c r="H110">
        <v>35.578139999999998</v>
      </c>
      <c r="I110" t="s">
        <v>227</v>
      </c>
      <c r="J110" t="s">
        <v>224</v>
      </c>
      <c r="K110" t="s">
        <v>82</v>
      </c>
      <c r="L110">
        <v>0</v>
      </c>
      <c r="M110">
        <v>0</v>
      </c>
      <c r="N110">
        <v>0</v>
      </c>
      <c r="O110" t="s">
        <v>83</v>
      </c>
    </row>
    <row r="111" spans="3:15">
      <c r="C111" s="25">
        <v>42065.871435185189</v>
      </c>
      <c r="D111" s="2">
        <v>42065.871435185189</v>
      </c>
      <c r="E111" t="s">
        <v>98</v>
      </c>
      <c r="F111">
        <v>0</v>
      </c>
      <c r="G111">
        <v>0</v>
      </c>
      <c r="H111">
        <v>0</v>
      </c>
      <c r="J111" t="s">
        <v>218</v>
      </c>
      <c r="K111">
        <v>0</v>
      </c>
      <c r="L111">
        <v>0</v>
      </c>
      <c r="M111">
        <v>0</v>
      </c>
      <c r="N111">
        <v>0</v>
      </c>
      <c r="O111" t="s">
        <v>83</v>
      </c>
    </row>
    <row r="112" spans="3:15">
      <c r="C112" s="25">
        <v>42065.871469907404</v>
      </c>
      <c r="D112" s="2">
        <v>42065.871469907404</v>
      </c>
      <c r="E112" t="s">
        <v>19</v>
      </c>
      <c r="F112">
        <v>20</v>
      </c>
      <c r="G112">
        <v>139.41079999999999</v>
      </c>
      <c r="H112">
        <v>35.578290000000003</v>
      </c>
      <c r="I112" t="s">
        <v>229</v>
      </c>
      <c r="J112" t="s">
        <v>210</v>
      </c>
      <c r="K112" t="s">
        <v>82</v>
      </c>
      <c r="L112">
        <v>0</v>
      </c>
      <c r="M112">
        <v>0</v>
      </c>
      <c r="N112">
        <v>0</v>
      </c>
      <c r="O112" t="s">
        <v>83</v>
      </c>
    </row>
    <row r="113" spans="3:15">
      <c r="C113" s="25">
        <v>42065.871504629627</v>
      </c>
      <c r="D113" s="2">
        <v>42065.871504629627</v>
      </c>
      <c r="E113" t="s">
        <v>59</v>
      </c>
      <c r="F113">
        <v>0</v>
      </c>
      <c r="G113">
        <v>0</v>
      </c>
      <c r="H113">
        <v>0</v>
      </c>
      <c r="K113">
        <v>0</v>
      </c>
      <c r="L113" t="s">
        <v>165</v>
      </c>
      <c r="N113">
        <v>0</v>
      </c>
      <c r="O113" t="s">
        <v>380</v>
      </c>
    </row>
    <row r="114" spans="3:15">
      <c r="C114" s="25">
        <v>42065.871539351851</v>
      </c>
      <c r="D114" s="2">
        <v>42065.871539351851</v>
      </c>
      <c r="E114" t="s">
        <v>59</v>
      </c>
      <c r="F114">
        <v>0</v>
      </c>
      <c r="G114">
        <v>0</v>
      </c>
      <c r="H114">
        <v>0</v>
      </c>
      <c r="K114">
        <v>0</v>
      </c>
      <c r="L114" t="s">
        <v>165</v>
      </c>
      <c r="N114">
        <v>0</v>
      </c>
      <c r="O114" t="s">
        <v>381</v>
      </c>
    </row>
    <row r="115" spans="3:15">
      <c r="C115" s="25">
        <v>42065.871631944443</v>
      </c>
      <c r="D115" s="2">
        <v>42065.871631944443</v>
      </c>
      <c r="E115" t="s">
        <v>19</v>
      </c>
      <c r="F115">
        <v>44</v>
      </c>
      <c r="G115">
        <v>139.40944999999999</v>
      </c>
      <c r="H115">
        <v>35.578749999999999</v>
      </c>
      <c r="I115" t="s">
        <v>230</v>
      </c>
      <c r="J115" t="s">
        <v>210</v>
      </c>
      <c r="K115" t="s">
        <v>82</v>
      </c>
      <c r="L115">
        <v>0</v>
      </c>
      <c r="M115">
        <v>0</v>
      </c>
      <c r="N115">
        <v>0</v>
      </c>
      <c r="O115" t="s">
        <v>83</v>
      </c>
    </row>
    <row r="116" spans="3:15">
      <c r="C116" s="25">
        <v>42065.871898148151</v>
      </c>
      <c r="D116" s="2">
        <v>42065.871898148151</v>
      </c>
      <c r="E116" t="s">
        <v>19</v>
      </c>
      <c r="F116">
        <v>44</v>
      </c>
      <c r="G116">
        <v>139.40672000000001</v>
      </c>
      <c r="H116">
        <v>35.580240000000003</v>
      </c>
      <c r="I116" t="s">
        <v>231</v>
      </c>
      <c r="J116" t="s">
        <v>210</v>
      </c>
      <c r="K116" t="s">
        <v>82</v>
      </c>
      <c r="L116">
        <v>0</v>
      </c>
      <c r="M116">
        <v>0</v>
      </c>
      <c r="N116">
        <v>0</v>
      </c>
      <c r="O116" t="s">
        <v>83</v>
      </c>
    </row>
    <row r="117" spans="3:15">
      <c r="C117" s="25">
        <v>42065.872013888889</v>
      </c>
      <c r="D117" s="2">
        <v>42065.872013888889</v>
      </c>
      <c r="E117" t="s">
        <v>19</v>
      </c>
      <c r="F117">
        <v>48</v>
      </c>
      <c r="G117">
        <v>139.40540999999999</v>
      </c>
      <c r="H117">
        <v>35.580719999999999</v>
      </c>
      <c r="I117" t="s">
        <v>229</v>
      </c>
      <c r="J117" t="s">
        <v>211</v>
      </c>
      <c r="K117" t="s">
        <v>82</v>
      </c>
      <c r="L117">
        <v>0</v>
      </c>
      <c r="M117">
        <v>0</v>
      </c>
      <c r="N117">
        <v>0</v>
      </c>
      <c r="O117" t="s">
        <v>83</v>
      </c>
    </row>
    <row r="118" spans="3:15">
      <c r="C118" s="25">
        <v>42065.872071759259</v>
      </c>
      <c r="D118" s="2">
        <v>42065.872071759259</v>
      </c>
      <c r="E118" t="s">
        <v>19</v>
      </c>
      <c r="F118">
        <v>37</v>
      </c>
      <c r="G118">
        <v>139.40483</v>
      </c>
      <c r="H118">
        <v>35.580930000000002</v>
      </c>
      <c r="I118" t="s">
        <v>229</v>
      </c>
      <c r="J118" t="s">
        <v>210</v>
      </c>
      <c r="K118" t="s">
        <v>82</v>
      </c>
      <c r="L118">
        <v>0</v>
      </c>
      <c r="M118">
        <v>0</v>
      </c>
      <c r="N118">
        <v>0</v>
      </c>
      <c r="O118" t="s">
        <v>83</v>
      </c>
    </row>
    <row r="119" spans="3:15">
      <c r="C119" s="25">
        <v>42065.872187499997</v>
      </c>
      <c r="D119" s="2">
        <v>42065.872187499997</v>
      </c>
      <c r="E119" t="s">
        <v>19</v>
      </c>
      <c r="F119">
        <v>48</v>
      </c>
      <c r="G119">
        <v>139.40415999999999</v>
      </c>
      <c r="H119">
        <v>35.58193</v>
      </c>
      <c r="I119" t="s">
        <v>232</v>
      </c>
      <c r="J119" t="s">
        <v>211</v>
      </c>
      <c r="K119" t="s">
        <v>82</v>
      </c>
      <c r="L119">
        <v>0</v>
      </c>
      <c r="M119">
        <v>0</v>
      </c>
      <c r="N119">
        <v>0</v>
      </c>
      <c r="O119" t="s">
        <v>83</v>
      </c>
    </row>
    <row r="120" spans="3:15">
      <c r="C120" s="25">
        <v>42065.872314814813</v>
      </c>
      <c r="D120" s="2">
        <v>42065.872314814813</v>
      </c>
      <c r="E120" t="s">
        <v>19</v>
      </c>
      <c r="F120">
        <v>44</v>
      </c>
      <c r="G120">
        <v>139.40341000000001</v>
      </c>
      <c r="H120">
        <v>35.58305</v>
      </c>
      <c r="I120" t="s">
        <v>232</v>
      </c>
      <c r="J120" t="s">
        <v>210</v>
      </c>
      <c r="K120" t="s">
        <v>82</v>
      </c>
      <c r="L120">
        <v>0</v>
      </c>
      <c r="M120">
        <v>0</v>
      </c>
      <c r="N120">
        <v>0</v>
      </c>
      <c r="O120" t="s">
        <v>83</v>
      </c>
    </row>
    <row r="121" spans="3:15">
      <c r="C121" s="25">
        <v>42065.872442129628</v>
      </c>
      <c r="D121" s="2">
        <v>42065.872442129628</v>
      </c>
      <c r="E121" t="s">
        <v>19</v>
      </c>
      <c r="F121">
        <v>0</v>
      </c>
      <c r="G121">
        <v>139.40291999999999</v>
      </c>
      <c r="H121">
        <v>35.583460000000002</v>
      </c>
      <c r="I121" t="s">
        <v>232</v>
      </c>
      <c r="J121" t="s">
        <v>195</v>
      </c>
      <c r="K121" t="s">
        <v>82</v>
      </c>
      <c r="L121">
        <v>0</v>
      </c>
      <c r="M121">
        <v>0</v>
      </c>
      <c r="N121">
        <v>0</v>
      </c>
      <c r="O121" t="s">
        <v>83</v>
      </c>
    </row>
    <row r="122" spans="3:15">
      <c r="C122" s="25">
        <v>42065.872569444444</v>
      </c>
      <c r="D122" s="2">
        <v>42065.872569444444</v>
      </c>
      <c r="E122" t="s">
        <v>19</v>
      </c>
      <c r="F122">
        <v>0</v>
      </c>
      <c r="G122">
        <v>139.40291999999999</v>
      </c>
      <c r="H122">
        <v>35.583460000000002</v>
      </c>
      <c r="I122" t="s">
        <v>232</v>
      </c>
      <c r="J122" t="s">
        <v>224</v>
      </c>
      <c r="K122" t="s">
        <v>82</v>
      </c>
      <c r="L122">
        <v>0</v>
      </c>
      <c r="M122">
        <v>0</v>
      </c>
      <c r="N122">
        <v>0</v>
      </c>
      <c r="O122" t="s">
        <v>83</v>
      </c>
    </row>
    <row r="123" spans="3:15">
      <c r="C123" s="25">
        <v>42065.872800925928</v>
      </c>
      <c r="D123" s="2">
        <v>42065.872800925928</v>
      </c>
      <c r="E123" t="s">
        <v>59</v>
      </c>
      <c r="F123">
        <v>0</v>
      </c>
      <c r="G123">
        <v>0</v>
      </c>
      <c r="H123">
        <v>0</v>
      </c>
      <c r="K123">
        <v>0</v>
      </c>
      <c r="L123" t="s">
        <v>203</v>
      </c>
      <c r="N123">
        <v>0</v>
      </c>
      <c r="O123" t="s">
        <v>382</v>
      </c>
    </row>
    <row r="124" spans="3:15">
      <c r="C124" s="25">
        <v>42065.872835648152</v>
      </c>
      <c r="D124" s="2">
        <v>42065.872835648152</v>
      </c>
      <c r="E124" t="s">
        <v>59</v>
      </c>
      <c r="F124">
        <v>0</v>
      </c>
      <c r="G124">
        <v>0</v>
      </c>
      <c r="H124">
        <v>0</v>
      </c>
      <c r="K124">
        <v>0</v>
      </c>
      <c r="L124" t="s">
        <v>165</v>
      </c>
      <c r="N124">
        <v>0</v>
      </c>
      <c r="O124" t="s">
        <v>383</v>
      </c>
    </row>
    <row r="125" spans="3:15">
      <c r="C125" s="25">
        <v>42065.872847222221</v>
      </c>
      <c r="D125" s="2">
        <v>42065.872847222221</v>
      </c>
      <c r="E125" t="s">
        <v>19</v>
      </c>
      <c r="F125">
        <v>1</v>
      </c>
      <c r="G125">
        <v>139.40291999999999</v>
      </c>
      <c r="H125">
        <v>35.583489999999998</v>
      </c>
      <c r="I125" t="s">
        <v>232</v>
      </c>
      <c r="J125" t="s">
        <v>195</v>
      </c>
      <c r="K125" t="s">
        <v>82</v>
      </c>
      <c r="L125">
        <v>0</v>
      </c>
      <c r="M125">
        <v>0</v>
      </c>
      <c r="N125">
        <v>0</v>
      </c>
      <c r="O125" t="s">
        <v>83</v>
      </c>
    </row>
    <row r="126" spans="3:15">
      <c r="C126" s="25">
        <v>42065.87300925926</v>
      </c>
      <c r="D126" s="2">
        <v>42065.87300925926</v>
      </c>
      <c r="E126" t="s">
        <v>19</v>
      </c>
      <c r="F126">
        <v>39</v>
      </c>
      <c r="G126">
        <v>139.40213</v>
      </c>
      <c r="H126">
        <v>35.5839</v>
      </c>
      <c r="I126" t="s">
        <v>232</v>
      </c>
      <c r="J126" t="s">
        <v>210</v>
      </c>
      <c r="K126" t="s">
        <v>82</v>
      </c>
      <c r="L126">
        <v>0</v>
      </c>
      <c r="M126">
        <v>0</v>
      </c>
      <c r="N126">
        <v>0</v>
      </c>
      <c r="O126" t="s">
        <v>83</v>
      </c>
    </row>
    <row r="127" spans="3:15">
      <c r="C127" s="25">
        <v>42065.873136574075</v>
      </c>
      <c r="D127" s="2">
        <v>42065.873136574075</v>
      </c>
      <c r="E127" t="s">
        <v>19</v>
      </c>
      <c r="F127">
        <v>39</v>
      </c>
      <c r="G127">
        <v>139.40091000000001</v>
      </c>
      <c r="H127">
        <v>35.584330000000001</v>
      </c>
      <c r="I127" t="s">
        <v>232</v>
      </c>
      <c r="J127" t="s">
        <v>211</v>
      </c>
      <c r="K127" t="s">
        <v>82</v>
      </c>
      <c r="L127">
        <v>0</v>
      </c>
      <c r="M127">
        <v>0</v>
      </c>
      <c r="N127">
        <v>0</v>
      </c>
      <c r="O127" t="s">
        <v>83</v>
      </c>
    </row>
    <row r="128" spans="3:15">
      <c r="C128" s="25">
        <v>42065.873217592591</v>
      </c>
      <c r="D128" s="2">
        <v>42065.873217592591</v>
      </c>
      <c r="E128" t="s">
        <v>59</v>
      </c>
      <c r="F128">
        <v>0</v>
      </c>
      <c r="G128">
        <v>0</v>
      </c>
      <c r="H128">
        <v>0</v>
      </c>
      <c r="K128">
        <v>0</v>
      </c>
      <c r="L128" t="s">
        <v>165</v>
      </c>
      <c r="N128">
        <v>0</v>
      </c>
      <c r="O128" t="s">
        <v>384</v>
      </c>
    </row>
    <row r="129" spans="3:15">
      <c r="C129" s="25">
        <v>42065.873240740744</v>
      </c>
      <c r="D129" s="2">
        <v>42065.873240740744</v>
      </c>
      <c r="E129" t="s">
        <v>19</v>
      </c>
      <c r="F129">
        <v>52</v>
      </c>
      <c r="G129">
        <v>139.3997</v>
      </c>
      <c r="H129">
        <v>35.584719999999997</v>
      </c>
      <c r="I129" t="s">
        <v>232</v>
      </c>
      <c r="J129" t="s">
        <v>210</v>
      </c>
      <c r="K129" t="s">
        <v>82</v>
      </c>
      <c r="L129">
        <v>0</v>
      </c>
      <c r="M129">
        <v>0</v>
      </c>
      <c r="N129">
        <v>0</v>
      </c>
      <c r="O129" t="s">
        <v>83</v>
      </c>
    </row>
    <row r="130" spans="3:15">
      <c r="C130" s="25">
        <v>42065.873553240737</v>
      </c>
      <c r="D130" s="2">
        <v>42065.873553240737</v>
      </c>
      <c r="E130" t="s">
        <v>19</v>
      </c>
      <c r="F130">
        <v>37</v>
      </c>
      <c r="G130">
        <v>139.39609999999999</v>
      </c>
      <c r="H130">
        <v>35.585590000000003</v>
      </c>
      <c r="I130" t="s">
        <v>232</v>
      </c>
      <c r="J130" t="s">
        <v>211</v>
      </c>
      <c r="K130" t="s">
        <v>82</v>
      </c>
      <c r="L130">
        <v>0</v>
      </c>
      <c r="M130">
        <v>0</v>
      </c>
      <c r="N130">
        <v>0</v>
      </c>
      <c r="O130" t="s">
        <v>83</v>
      </c>
    </row>
    <row r="131" spans="3:15">
      <c r="C131" s="25">
        <v>42065.873692129629</v>
      </c>
      <c r="D131" s="2">
        <v>42065.873692129629</v>
      </c>
      <c r="E131" t="s">
        <v>19</v>
      </c>
      <c r="F131">
        <v>0</v>
      </c>
      <c r="G131">
        <v>139.39546000000001</v>
      </c>
      <c r="H131">
        <v>35.585720000000002</v>
      </c>
      <c r="I131" t="s">
        <v>232</v>
      </c>
      <c r="J131" t="s">
        <v>195</v>
      </c>
      <c r="K131" t="s">
        <v>82</v>
      </c>
      <c r="L131">
        <v>0</v>
      </c>
      <c r="M131">
        <v>0</v>
      </c>
      <c r="N131">
        <v>0</v>
      </c>
      <c r="O131" t="s">
        <v>83</v>
      </c>
    </row>
    <row r="132" spans="3:15">
      <c r="C132" s="25">
        <v>42065.873715277776</v>
      </c>
      <c r="D132" s="2">
        <v>42065.873715277776</v>
      </c>
      <c r="E132" t="s">
        <v>19</v>
      </c>
      <c r="F132">
        <v>0</v>
      </c>
      <c r="G132">
        <v>139.39546000000001</v>
      </c>
      <c r="H132">
        <v>35.585720000000002</v>
      </c>
      <c r="I132" t="s">
        <v>232</v>
      </c>
      <c r="J132" t="s">
        <v>224</v>
      </c>
      <c r="K132" t="s">
        <v>82</v>
      </c>
      <c r="L132">
        <v>0</v>
      </c>
      <c r="M132">
        <v>0</v>
      </c>
      <c r="N132">
        <v>0</v>
      </c>
      <c r="O132" t="s">
        <v>83</v>
      </c>
    </row>
    <row r="133" spans="3:15">
      <c r="C133" s="25">
        <v>42065.873807870368</v>
      </c>
      <c r="D133" s="2">
        <v>42065.873807870368</v>
      </c>
      <c r="E133" t="s">
        <v>19</v>
      </c>
      <c r="F133">
        <v>2</v>
      </c>
      <c r="G133">
        <v>139.39543</v>
      </c>
      <c r="H133">
        <v>35.585740000000001</v>
      </c>
      <c r="I133" t="s">
        <v>232</v>
      </c>
      <c r="J133" t="s">
        <v>195</v>
      </c>
      <c r="K133" t="s">
        <v>82</v>
      </c>
      <c r="L133">
        <v>0</v>
      </c>
      <c r="M133">
        <v>0</v>
      </c>
      <c r="N133">
        <v>0</v>
      </c>
      <c r="O133" t="s">
        <v>83</v>
      </c>
    </row>
    <row r="134" spans="3:15">
      <c r="C134" s="25">
        <v>42065.873865740738</v>
      </c>
      <c r="D134" s="2">
        <v>42065.873865740738</v>
      </c>
      <c r="E134" t="s">
        <v>59</v>
      </c>
      <c r="F134">
        <v>0</v>
      </c>
      <c r="G134">
        <v>0</v>
      </c>
      <c r="H134">
        <v>0</v>
      </c>
      <c r="K134">
        <v>0</v>
      </c>
      <c r="L134" t="s">
        <v>165</v>
      </c>
      <c r="N134">
        <v>0</v>
      </c>
      <c r="O134" t="s">
        <v>385</v>
      </c>
    </row>
    <row r="135" spans="3:15">
      <c r="C135" s="25">
        <v>42065.873923611114</v>
      </c>
      <c r="D135" s="2">
        <v>42065.873923611114</v>
      </c>
      <c r="E135" t="s">
        <v>19</v>
      </c>
      <c r="F135">
        <v>26</v>
      </c>
      <c r="G135">
        <v>139.39505</v>
      </c>
      <c r="H135">
        <v>35.585819999999998</v>
      </c>
      <c r="I135" t="s">
        <v>233</v>
      </c>
      <c r="J135" t="s">
        <v>211</v>
      </c>
      <c r="K135" t="s">
        <v>82</v>
      </c>
      <c r="L135">
        <v>0</v>
      </c>
      <c r="M135">
        <v>0</v>
      </c>
      <c r="N135">
        <v>0</v>
      </c>
      <c r="O135" t="s">
        <v>83</v>
      </c>
    </row>
    <row r="136" spans="3:15">
      <c r="C136" s="25">
        <v>42065.87394675926</v>
      </c>
      <c r="D136" s="2">
        <v>42065.87394675926</v>
      </c>
      <c r="E136" t="s">
        <v>59</v>
      </c>
      <c r="F136">
        <v>0</v>
      </c>
      <c r="G136">
        <v>0</v>
      </c>
      <c r="H136">
        <v>0</v>
      </c>
      <c r="K136">
        <v>0</v>
      </c>
      <c r="L136" t="s">
        <v>165</v>
      </c>
      <c r="N136">
        <v>0</v>
      </c>
      <c r="O136" t="s">
        <v>386</v>
      </c>
    </row>
    <row r="137" spans="3:15">
      <c r="C137" s="25">
        <v>42065.87395833333</v>
      </c>
      <c r="D137" s="2">
        <v>42065.87395833333</v>
      </c>
      <c r="E137" t="s">
        <v>59</v>
      </c>
      <c r="F137">
        <v>0</v>
      </c>
      <c r="G137">
        <v>0</v>
      </c>
      <c r="H137">
        <v>0</v>
      </c>
      <c r="K137">
        <v>0</v>
      </c>
      <c r="L137" t="s">
        <v>235</v>
      </c>
      <c r="N137">
        <v>0</v>
      </c>
      <c r="O137" t="s">
        <v>348</v>
      </c>
    </row>
    <row r="138" spans="3:15">
      <c r="C138" s="25">
        <v>42065.873981481483</v>
      </c>
      <c r="D138" s="2">
        <v>42065.873981481483</v>
      </c>
      <c r="E138" t="s">
        <v>19</v>
      </c>
      <c r="F138">
        <v>4</v>
      </c>
      <c r="G138">
        <v>139.39487</v>
      </c>
      <c r="H138">
        <v>35.585839999999997</v>
      </c>
      <c r="I138" t="s">
        <v>232</v>
      </c>
      <c r="J138" t="s">
        <v>211</v>
      </c>
      <c r="K138" t="s">
        <v>82</v>
      </c>
      <c r="L138">
        <v>0</v>
      </c>
      <c r="M138">
        <v>0</v>
      </c>
      <c r="N138">
        <v>0</v>
      </c>
      <c r="O138" t="s">
        <v>83</v>
      </c>
    </row>
    <row r="139" spans="3:15">
      <c r="C139" s="25">
        <v>42065.874074074076</v>
      </c>
      <c r="D139" s="2">
        <v>42065.874074074076</v>
      </c>
      <c r="E139" t="s">
        <v>19</v>
      </c>
      <c r="F139">
        <v>0</v>
      </c>
      <c r="G139">
        <v>139.39483999999999</v>
      </c>
      <c r="H139">
        <v>35.585819999999998</v>
      </c>
      <c r="I139" t="s">
        <v>232</v>
      </c>
      <c r="J139" t="s">
        <v>195</v>
      </c>
      <c r="K139" t="s">
        <v>82</v>
      </c>
      <c r="L139">
        <v>0</v>
      </c>
      <c r="M139">
        <v>0</v>
      </c>
      <c r="N139">
        <v>0</v>
      </c>
      <c r="O139" t="s">
        <v>83</v>
      </c>
    </row>
    <row r="140" spans="3:15">
      <c r="C140" s="25">
        <v>42065.874560185184</v>
      </c>
      <c r="D140" s="2">
        <v>42065.874560185184</v>
      </c>
      <c r="E140" t="s">
        <v>98</v>
      </c>
      <c r="F140">
        <v>0</v>
      </c>
      <c r="G140">
        <v>0</v>
      </c>
      <c r="H140">
        <v>0</v>
      </c>
      <c r="J140" t="s">
        <v>236</v>
      </c>
      <c r="K140">
        <v>0</v>
      </c>
      <c r="L140">
        <v>0</v>
      </c>
      <c r="M140">
        <v>0</v>
      </c>
      <c r="N140">
        <v>0</v>
      </c>
      <c r="O140" t="s">
        <v>83</v>
      </c>
    </row>
    <row r="141" spans="3:15">
      <c r="C141" s="25">
        <v>42065.874571759261</v>
      </c>
      <c r="D141" s="2">
        <v>42065.874571759261</v>
      </c>
      <c r="E141" t="s">
        <v>98</v>
      </c>
      <c r="F141">
        <v>0</v>
      </c>
      <c r="G141">
        <v>0</v>
      </c>
      <c r="H141">
        <v>0</v>
      </c>
      <c r="J141" t="s">
        <v>238</v>
      </c>
      <c r="K141">
        <v>0</v>
      </c>
      <c r="L141">
        <v>0</v>
      </c>
      <c r="M141">
        <v>0</v>
      </c>
      <c r="N141">
        <v>0</v>
      </c>
      <c r="O141" t="s">
        <v>83</v>
      </c>
    </row>
    <row r="142" spans="3:15">
      <c r="J142" t="s">
        <v>240</v>
      </c>
      <c r="K142">
        <v>0</v>
      </c>
      <c r="L142">
        <v>0</v>
      </c>
      <c r="M142">
        <v>0</v>
      </c>
      <c r="N142">
        <v>0</v>
      </c>
      <c r="O142" t="s">
        <v>83</v>
      </c>
    </row>
    <row r="143" spans="3:15">
      <c r="C143" s="25">
        <v>42065.874583333331</v>
      </c>
      <c r="D143" s="2">
        <v>42065.874583333331</v>
      </c>
      <c r="E143" t="s">
        <v>98</v>
      </c>
      <c r="F143">
        <v>0</v>
      </c>
      <c r="G143">
        <v>0</v>
      </c>
      <c r="H143">
        <v>0</v>
      </c>
      <c r="J143" t="s">
        <v>236</v>
      </c>
      <c r="K143">
        <v>0</v>
      </c>
      <c r="L143">
        <v>0</v>
      </c>
      <c r="M143">
        <v>0</v>
      </c>
      <c r="N143">
        <v>0</v>
      </c>
      <c r="O143" t="s">
        <v>83</v>
      </c>
    </row>
    <row r="144" spans="3:15">
      <c r="C144" s="25">
        <v>42065.874594907407</v>
      </c>
      <c r="D144" s="2">
        <v>42065.874594907407</v>
      </c>
      <c r="E144" t="s">
        <v>98</v>
      </c>
      <c r="F144">
        <v>0</v>
      </c>
      <c r="G144">
        <v>0</v>
      </c>
      <c r="H144">
        <v>0</v>
      </c>
      <c r="J144" t="s">
        <v>240</v>
      </c>
      <c r="K144">
        <v>0</v>
      </c>
      <c r="L144">
        <v>0</v>
      </c>
      <c r="M144">
        <v>0</v>
      </c>
      <c r="N144">
        <v>0</v>
      </c>
      <c r="O144" t="s">
        <v>83</v>
      </c>
    </row>
    <row r="145" spans="3:15">
      <c r="C145" s="25">
        <v>42065.874710648146</v>
      </c>
      <c r="D145" s="2">
        <v>42065.874710648146</v>
      </c>
      <c r="E145" t="s">
        <v>19</v>
      </c>
      <c r="F145">
        <v>2</v>
      </c>
      <c r="G145">
        <v>139.39482000000001</v>
      </c>
      <c r="H145">
        <v>35.585900000000002</v>
      </c>
      <c r="I145" t="s">
        <v>232</v>
      </c>
      <c r="J145" t="s">
        <v>195</v>
      </c>
      <c r="K145" t="s">
        <v>82</v>
      </c>
      <c r="L145">
        <v>0</v>
      </c>
      <c r="M145">
        <v>0</v>
      </c>
      <c r="N145">
        <v>0</v>
      </c>
      <c r="O145" t="s">
        <v>83</v>
      </c>
    </row>
    <row r="146" spans="3:15">
      <c r="C146" s="25">
        <v>42065.874745370369</v>
      </c>
      <c r="D146" s="2">
        <v>42065.874745370369</v>
      </c>
      <c r="E146" t="s">
        <v>19</v>
      </c>
      <c r="F146">
        <v>0</v>
      </c>
      <c r="G146">
        <v>139.39482000000001</v>
      </c>
      <c r="H146">
        <v>35.58587</v>
      </c>
      <c r="I146" t="s">
        <v>232</v>
      </c>
      <c r="J146" t="s">
        <v>195</v>
      </c>
      <c r="K146" t="s">
        <v>82</v>
      </c>
      <c r="L146">
        <v>0</v>
      </c>
      <c r="M146">
        <v>0</v>
      </c>
      <c r="N146">
        <v>0</v>
      </c>
      <c r="O146" t="s">
        <v>83</v>
      </c>
    </row>
    <row r="147" spans="3:15">
      <c r="C147" s="25">
        <v>42065.874756944446</v>
      </c>
      <c r="D147" s="2">
        <v>42065.874756944446</v>
      </c>
      <c r="E147" t="s">
        <v>19</v>
      </c>
      <c r="F147">
        <v>1</v>
      </c>
      <c r="G147">
        <v>139.39482000000001</v>
      </c>
      <c r="H147">
        <v>35.58587</v>
      </c>
      <c r="I147" t="s">
        <v>232</v>
      </c>
      <c r="J147" t="s">
        <v>195</v>
      </c>
      <c r="K147" t="s">
        <v>82</v>
      </c>
      <c r="L147">
        <v>0</v>
      </c>
      <c r="M147">
        <v>0</v>
      </c>
      <c r="N147">
        <v>0</v>
      </c>
      <c r="O147" t="s">
        <v>83</v>
      </c>
    </row>
    <row r="148" spans="3:15">
      <c r="C148" s="25">
        <v>42065.874768518515</v>
      </c>
      <c r="D148" s="2">
        <v>42065.874768518515</v>
      </c>
      <c r="E148" t="s">
        <v>19</v>
      </c>
      <c r="F148">
        <v>0</v>
      </c>
      <c r="G148">
        <v>139.39482000000001</v>
      </c>
      <c r="H148">
        <v>35.585900000000002</v>
      </c>
      <c r="I148" t="s">
        <v>232</v>
      </c>
      <c r="J148" t="s">
        <v>195</v>
      </c>
      <c r="K148" t="s">
        <v>82</v>
      </c>
      <c r="L148">
        <v>0</v>
      </c>
      <c r="M148">
        <v>0</v>
      </c>
      <c r="N148">
        <v>0</v>
      </c>
      <c r="O148" t="s">
        <v>83</v>
      </c>
    </row>
    <row r="149" spans="3:15">
      <c r="C149" s="25">
        <v>42065.874780092592</v>
      </c>
      <c r="D149" s="2">
        <v>42065.874780092592</v>
      </c>
      <c r="E149" t="s">
        <v>19</v>
      </c>
      <c r="F149">
        <v>1</v>
      </c>
      <c r="G149">
        <v>139.39482000000001</v>
      </c>
      <c r="H149">
        <v>35.585900000000002</v>
      </c>
      <c r="I149" t="s">
        <v>232</v>
      </c>
      <c r="J149" t="s">
        <v>195</v>
      </c>
      <c r="K149" t="s">
        <v>82</v>
      </c>
      <c r="L149">
        <v>0</v>
      </c>
      <c r="M149">
        <v>0</v>
      </c>
      <c r="N149">
        <v>0</v>
      </c>
      <c r="O149" t="s">
        <v>83</v>
      </c>
    </row>
    <row r="150" spans="3:15">
      <c r="C150" s="25">
        <v>42065.874791666669</v>
      </c>
      <c r="D150" s="2">
        <v>42065.874791666669</v>
      </c>
      <c r="E150" t="s">
        <v>19</v>
      </c>
      <c r="F150">
        <v>0</v>
      </c>
      <c r="G150">
        <v>139.39482000000001</v>
      </c>
      <c r="H150">
        <v>35.585900000000002</v>
      </c>
      <c r="I150" t="s">
        <v>232</v>
      </c>
      <c r="J150" t="s">
        <v>195</v>
      </c>
      <c r="K150" t="s">
        <v>82</v>
      </c>
      <c r="L150">
        <v>0</v>
      </c>
      <c r="M150">
        <v>0</v>
      </c>
      <c r="N150">
        <v>0</v>
      </c>
      <c r="O150" t="s">
        <v>83</v>
      </c>
    </row>
    <row r="151" spans="3:15">
      <c r="C151" s="25">
        <v>42065.874861111108</v>
      </c>
      <c r="D151" s="2">
        <v>42065.874861111108</v>
      </c>
      <c r="E151" t="s">
        <v>19</v>
      </c>
      <c r="F151">
        <v>0</v>
      </c>
      <c r="G151">
        <v>139.39482000000001</v>
      </c>
      <c r="H151">
        <v>35.58587</v>
      </c>
      <c r="I151" t="s">
        <v>232</v>
      </c>
      <c r="J151" t="s">
        <v>224</v>
      </c>
      <c r="K151" t="s">
        <v>82</v>
      </c>
      <c r="L151">
        <v>0</v>
      </c>
      <c r="M151">
        <v>0</v>
      </c>
      <c r="N151">
        <v>0</v>
      </c>
      <c r="O151" t="s">
        <v>83</v>
      </c>
    </row>
    <row r="152" spans="3:15">
      <c r="C152" s="25">
        <v>42065.874918981484</v>
      </c>
      <c r="D152" s="2">
        <v>42065.874918981484</v>
      </c>
      <c r="E152" t="s">
        <v>98</v>
      </c>
      <c r="F152">
        <v>0</v>
      </c>
      <c r="G152">
        <v>0</v>
      </c>
      <c r="H152">
        <v>0</v>
      </c>
      <c r="J152" t="s">
        <v>236</v>
      </c>
      <c r="K152">
        <v>0</v>
      </c>
      <c r="L152">
        <v>0</v>
      </c>
      <c r="M152">
        <v>0</v>
      </c>
      <c r="N152">
        <v>0</v>
      </c>
      <c r="O152" t="s">
        <v>83</v>
      </c>
    </row>
    <row r="153" spans="3:15">
      <c r="C153" s="25">
        <v>42065.874930555554</v>
      </c>
      <c r="D153" s="2">
        <v>42065.874930555554</v>
      </c>
      <c r="E153" t="s">
        <v>98</v>
      </c>
      <c r="F153">
        <v>0</v>
      </c>
      <c r="G153">
        <v>0</v>
      </c>
      <c r="H153">
        <v>0</v>
      </c>
      <c r="J153" t="s">
        <v>240</v>
      </c>
      <c r="K153">
        <v>0</v>
      </c>
      <c r="L153">
        <v>0</v>
      </c>
      <c r="M153">
        <v>0</v>
      </c>
      <c r="N153">
        <v>0</v>
      </c>
      <c r="O153" t="s">
        <v>83</v>
      </c>
    </row>
    <row r="154" spans="3:15">
      <c r="C154" s="25">
        <v>42065.875011574077</v>
      </c>
      <c r="D154" s="2">
        <v>42065.875011574077</v>
      </c>
      <c r="E154" t="s">
        <v>98</v>
      </c>
      <c r="F154">
        <v>0</v>
      </c>
      <c r="G154">
        <v>0</v>
      </c>
      <c r="H154">
        <v>0</v>
      </c>
      <c r="J154" t="s">
        <v>236</v>
      </c>
      <c r="K154">
        <v>0</v>
      </c>
      <c r="L154">
        <v>0</v>
      </c>
      <c r="M154">
        <v>0</v>
      </c>
      <c r="N154">
        <v>0</v>
      </c>
      <c r="O154" t="s">
        <v>83</v>
      </c>
    </row>
    <row r="155" spans="3:15">
      <c r="C155" s="25">
        <v>42065.875023148146</v>
      </c>
      <c r="D155" s="2">
        <v>42065.875023148146</v>
      </c>
      <c r="E155" t="s">
        <v>98</v>
      </c>
      <c r="F155">
        <v>0</v>
      </c>
      <c r="G155">
        <v>0</v>
      </c>
      <c r="H155">
        <v>0</v>
      </c>
      <c r="J155" t="s">
        <v>240</v>
      </c>
      <c r="K155">
        <v>0</v>
      </c>
      <c r="L155">
        <v>0</v>
      </c>
      <c r="M155">
        <v>0</v>
      </c>
      <c r="N155">
        <v>0</v>
      </c>
      <c r="O155" t="s">
        <v>83</v>
      </c>
    </row>
    <row r="156" spans="3:15">
      <c r="C156" s="25">
        <v>42065.875057870369</v>
      </c>
      <c r="D156" s="2">
        <v>42065.875057870369</v>
      </c>
      <c r="E156" t="s">
        <v>98</v>
      </c>
      <c r="F156">
        <v>0</v>
      </c>
      <c r="G156">
        <v>0</v>
      </c>
      <c r="H156">
        <v>0</v>
      </c>
      <c r="J156" t="s">
        <v>236</v>
      </c>
      <c r="K156">
        <v>0</v>
      </c>
      <c r="L156">
        <v>0</v>
      </c>
      <c r="M156">
        <v>0</v>
      </c>
      <c r="N156">
        <v>0</v>
      </c>
      <c r="O156" t="s">
        <v>83</v>
      </c>
    </row>
    <row r="157" spans="3:15">
      <c r="C157" s="25">
        <v>42065.875069444446</v>
      </c>
      <c r="D157" s="2">
        <v>42065.875069444446</v>
      </c>
      <c r="E157" t="s">
        <v>98</v>
      </c>
      <c r="F157">
        <v>0</v>
      </c>
      <c r="G157">
        <v>0</v>
      </c>
      <c r="H157">
        <v>0</v>
      </c>
      <c r="J157" t="s">
        <v>240</v>
      </c>
      <c r="K157">
        <v>0</v>
      </c>
      <c r="L157">
        <v>0</v>
      </c>
      <c r="M157">
        <v>0</v>
      </c>
      <c r="N157">
        <v>0</v>
      </c>
      <c r="O157" t="s">
        <v>83</v>
      </c>
    </row>
    <row r="158" spans="3:15">
      <c r="C158" s="25">
        <v>42065.875092592592</v>
      </c>
      <c r="D158" s="2">
        <v>42065.875092592592</v>
      </c>
      <c r="E158" t="s">
        <v>98</v>
      </c>
      <c r="F158">
        <v>0</v>
      </c>
      <c r="G158">
        <v>0</v>
      </c>
      <c r="H158">
        <v>0</v>
      </c>
      <c r="J158" t="s">
        <v>236</v>
      </c>
      <c r="K158">
        <v>0</v>
      </c>
      <c r="L158">
        <v>0</v>
      </c>
      <c r="M158">
        <v>0</v>
      </c>
      <c r="N158">
        <v>0</v>
      </c>
      <c r="O158" t="s">
        <v>83</v>
      </c>
    </row>
    <row r="159" spans="3:15">
      <c r="C159" s="25">
        <v>42065.875104166669</v>
      </c>
      <c r="D159" s="2">
        <v>42065.875104166669</v>
      </c>
      <c r="E159" t="s">
        <v>98</v>
      </c>
      <c r="F159">
        <v>0</v>
      </c>
      <c r="G159">
        <v>0</v>
      </c>
      <c r="H159">
        <v>0</v>
      </c>
      <c r="J159" t="s">
        <v>251</v>
      </c>
      <c r="K159">
        <v>0</v>
      </c>
      <c r="L159">
        <v>0</v>
      </c>
      <c r="M159">
        <v>0</v>
      </c>
      <c r="N159">
        <v>0</v>
      </c>
      <c r="O159" t="s">
        <v>83</v>
      </c>
    </row>
    <row r="160" spans="3:15">
      <c r="C160" s="25">
        <v>42065.875115740739</v>
      </c>
      <c r="D160" s="2">
        <v>42065.875115740739</v>
      </c>
      <c r="E160" t="s">
        <v>19</v>
      </c>
      <c r="F160">
        <v>1</v>
      </c>
      <c r="G160">
        <v>139.39482000000001</v>
      </c>
      <c r="H160">
        <v>35.585839999999997</v>
      </c>
      <c r="I160" t="s">
        <v>232</v>
      </c>
      <c r="J160" t="s">
        <v>195</v>
      </c>
      <c r="K160" t="s">
        <v>82</v>
      </c>
      <c r="L160">
        <v>0</v>
      </c>
      <c r="M160">
        <v>0</v>
      </c>
      <c r="N160">
        <v>0</v>
      </c>
      <c r="O160" t="s">
        <v>83</v>
      </c>
    </row>
    <row r="161" spans="3:15">
      <c r="C161" s="25">
        <v>42065.875138888892</v>
      </c>
      <c r="D161" s="2">
        <v>42065.875138888892</v>
      </c>
      <c r="E161" t="s">
        <v>19</v>
      </c>
      <c r="F161">
        <v>0</v>
      </c>
      <c r="G161">
        <v>139.39482000000001</v>
      </c>
      <c r="H161">
        <v>35.58587</v>
      </c>
      <c r="I161" t="s">
        <v>232</v>
      </c>
      <c r="J161" t="s">
        <v>195</v>
      </c>
      <c r="K161" t="s">
        <v>82</v>
      </c>
      <c r="L161">
        <v>0</v>
      </c>
      <c r="M161">
        <v>0</v>
      </c>
      <c r="N161">
        <v>0</v>
      </c>
      <c r="O161" t="s">
        <v>83</v>
      </c>
    </row>
    <row r="162" spans="3:15">
      <c r="C162" s="25">
        <v>42065.875335648147</v>
      </c>
      <c r="D162" s="2">
        <v>42065.875335648147</v>
      </c>
      <c r="E162" t="s">
        <v>19</v>
      </c>
      <c r="F162">
        <v>1</v>
      </c>
      <c r="G162">
        <v>139.39483999999999</v>
      </c>
      <c r="H162">
        <v>35.585920000000002</v>
      </c>
      <c r="I162" t="s">
        <v>232</v>
      </c>
      <c r="J162" t="s">
        <v>195</v>
      </c>
      <c r="K162" t="s">
        <v>82</v>
      </c>
      <c r="L162">
        <v>0</v>
      </c>
      <c r="M162">
        <v>0</v>
      </c>
      <c r="N162">
        <v>0</v>
      </c>
      <c r="O162" t="s">
        <v>83</v>
      </c>
    </row>
    <row r="163" spans="3:15">
      <c r="C163" s="25">
        <v>42065.875347222223</v>
      </c>
      <c r="D163" s="2">
        <v>42065.875347222223</v>
      </c>
      <c r="E163" t="s">
        <v>19</v>
      </c>
      <c r="F163">
        <v>0</v>
      </c>
      <c r="G163">
        <v>139.39483999999999</v>
      </c>
      <c r="H163">
        <v>35.585920000000002</v>
      </c>
      <c r="I163" t="s">
        <v>232</v>
      </c>
      <c r="J163" t="s">
        <v>195</v>
      </c>
      <c r="K163" t="s">
        <v>82</v>
      </c>
      <c r="L163">
        <v>0</v>
      </c>
      <c r="M163">
        <v>0</v>
      </c>
      <c r="N163">
        <v>0</v>
      </c>
      <c r="O163" t="s">
        <v>83</v>
      </c>
    </row>
    <row r="164" spans="3:15">
      <c r="E164" t="s">
        <v>98</v>
      </c>
      <c r="F164">
        <v>0</v>
      </c>
      <c r="G164">
        <v>0</v>
      </c>
      <c r="H164">
        <v>0</v>
      </c>
      <c r="J164" t="s">
        <v>253</v>
      </c>
      <c r="K164">
        <v>0</v>
      </c>
      <c r="L164">
        <v>0</v>
      </c>
      <c r="M164">
        <v>0</v>
      </c>
      <c r="N164">
        <v>0</v>
      </c>
      <c r="O164" t="s">
        <v>83</v>
      </c>
    </row>
    <row r="165" spans="3:15">
      <c r="C165" s="25">
        <v>42065.875358796293</v>
      </c>
      <c r="D165" s="2">
        <v>42065.875358796293</v>
      </c>
      <c r="E165" t="s">
        <v>19</v>
      </c>
      <c r="F165">
        <v>2</v>
      </c>
      <c r="G165">
        <v>139.39483999999999</v>
      </c>
      <c r="H165">
        <v>35.585920000000002</v>
      </c>
      <c r="I165" t="s">
        <v>232</v>
      </c>
      <c r="J165" t="s">
        <v>195</v>
      </c>
      <c r="K165" t="s">
        <v>82</v>
      </c>
      <c r="L165">
        <v>0</v>
      </c>
      <c r="M165">
        <v>0</v>
      </c>
      <c r="N165">
        <v>0</v>
      </c>
      <c r="O165" t="s">
        <v>83</v>
      </c>
    </row>
    <row r="166" spans="3:15">
      <c r="C166" s="25">
        <v>42065.87537037037</v>
      </c>
      <c r="D166" s="2">
        <v>42065.87537037037</v>
      </c>
      <c r="E166" t="s">
        <v>19</v>
      </c>
      <c r="F166">
        <v>0</v>
      </c>
      <c r="G166">
        <v>139.39483999999999</v>
      </c>
      <c r="H166">
        <v>35.585900000000002</v>
      </c>
      <c r="I166" t="s">
        <v>232</v>
      </c>
      <c r="J166" t="s">
        <v>195</v>
      </c>
      <c r="K166" t="s">
        <v>82</v>
      </c>
      <c r="L166">
        <v>0</v>
      </c>
      <c r="M166">
        <v>0</v>
      </c>
      <c r="N166">
        <v>0</v>
      </c>
      <c r="O166" t="s">
        <v>83</v>
      </c>
    </row>
    <row r="167" spans="3:15">
      <c r="C167" s="25">
        <v>42065.875393518516</v>
      </c>
      <c r="D167" s="2">
        <v>42065.875393518516</v>
      </c>
      <c r="E167" t="s">
        <v>19</v>
      </c>
      <c r="F167">
        <v>2</v>
      </c>
      <c r="G167">
        <v>139.39483999999999</v>
      </c>
      <c r="H167">
        <v>35.585900000000002</v>
      </c>
      <c r="I167" t="s">
        <v>232</v>
      </c>
      <c r="J167" t="s">
        <v>195</v>
      </c>
      <c r="K167" t="s">
        <v>82</v>
      </c>
      <c r="L167">
        <v>0</v>
      </c>
      <c r="M167">
        <v>0</v>
      </c>
      <c r="N167">
        <v>0</v>
      </c>
      <c r="O167" t="s">
        <v>83</v>
      </c>
    </row>
    <row r="168" spans="3:15">
      <c r="C168" s="25">
        <v>42065.875416666669</v>
      </c>
      <c r="D168" s="2">
        <v>42065.875416666669</v>
      </c>
      <c r="E168" t="s">
        <v>19</v>
      </c>
      <c r="F168">
        <v>0</v>
      </c>
      <c r="G168">
        <v>139.39483999999999</v>
      </c>
      <c r="H168">
        <v>35.585900000000002</v>
      </c>
      <c r="I168" t="s">
        <v>232</v>
      </c>
      <c r="J168" t="s">
        <v>195</v>
      </c>
      <c r="K168" t="s">
        <v>82</v>
      </c>
      <c r="L168">
        <v>0</v>
      </c>
      <c r="M168">
        <v>0</v>
      </c>
      <c r="N168">
        <v>0</v>
      </c>
      <c r="O168" t="s">
        <v>83</v>
      </c>
    </row>
    <row r="169" spans="3:15">
      <c r="C169" s="25">
        <v>42065.875601851854</v>
      </c>
      <c r="D169" s="2">
        <v>42065.875601851854</v>
      </c>
      <c r="E169" t="s">
        <v>98</v>
      </c>
      <c r="F169">
        <v>0</v>
      </c>
      <c r="G169">
        <v>0</v>
      </c>
      <c r="H169">
        <v>0</v>
      </c>
      <c r="J169" t="s">
        <v>206</v>
      </c>
      <c r="K169">
        <v>0</v>
      </c>
      <c r="L169">
        <v>0</v>
      </c>
      <c r="M169">
        <v>0</v>
      </c>
      <c r="N169">
        <v>0</v>
      </c>
      <c r="O169" t="s">
        <v>83</v>
      </c>
    </row>
    <row r="170" spans="3:15">
      <c r="C170" s="25">
        <v>42065.875613425924</v>
      </c>
      <c r="D170" s="2">
        <v>42065.875613425924</v>
      </c>
      <c r="E170" t="s">
        <v>59</v>
      </c>
      <c r="F170">
        <v>0</v>
      </c>
      <c r="G170">
        <v>0</v>
      </c>
      <c r="H170">
        <v>0</v>
      </c>
      <c r="K170">
        <v>0</v>
      </c>
      <c r="L170" t="s">
        <v>6</v>
      </c>
      <c r="N170">
        <v>0</v>
      </c>
      <c r="O170" t="s">
        <v>387</v>
      </c>
    </row>
    <row r="171" spans="3:15">
      <c r="E171" t="s">
        <v>19</v>
      </c>
      <c r="F171">
        <v>0</v>
      </c>
      <c r="G171">
        <v>139.39487</v>
      </c>
      <c r="H171">
        <v>35.585920000000002</v>
      </c>
      <c r="I171" t="s">
        <v>232</v>
      </c>
      <c r="J171" t="s">
        <v>6</v>
      </c>
      <c r="K171" t="s">
        <v>81</v>
      </c>
      <c r="L171">
        <v>0</v>
      </c>
      <c r="M171">
        <v>0</v>
      </c>
      <c r="N171">
        <v>0</v>
      </c>
      <c r="O171" t="s">
        <v>83</v>
      </c>
    </row>
    <row r="172" spans="3:15">
      <c r="C172" s="25">
        <v>42065.875694444447</v>
      </c>
      <c r="D172" s="2">
        <v>42065.875694444447</v>
      </c>
      <c r="E172" t="s">
        <v>59</v>
      </c>
      <c r="F172">
        <v>0</v>
      </c>
      <c r="G172">
        <v>0</v>
      </c>
      <c r="H172">
        <v>0</v>
      </c>
      <c r="K172">
        <v>0</v>
      </c>
      <c r="L172" t="s">
        <v>217</v>
      </c>
      <c r="N172">
        <v>0</v>
      </c>
      <c r="O172" t="s">
        <v>388</v>
      </c>
    </row>
    <row r="173" spans="3:15">
      <c r="L173" t="s">
        <v>259</v>
      </c>
      <c r="N173">
        <v>0</v>
      </c>
      <c r="O173" t="s">
        <v>389</v>
      </c>
    </row>
    <row r="174" spans="3:15">
      <c r="L174" t="s">
        <v>266</v>
      </c>
      <c r="N174">
        <v>0</v>
      </c>
      <c r="O174" t="s">
        <v>390</v>
      </c>
    </row>
    <row r="175" spans="3:15">
      <c r="L175" t="s">
        <v>268</v>
      </c>
      <c r="N175">
        <v>0</v>
      </c>
      <c r="O175" t="s">
        <v>389</v>
      </c>
    </row>
    <row r="176" spans="3:15">
      <c r="L176" t="s">
        <v>270</v>
      </c>
      <c r="N176">
        <v>0</v>
      </c>
      <c r="O176" t="s">
        <v>390</v>
      </c>
    </row>
    <row r="177" spans="3:15">
      <c r="E177" t="s">
        <v>98</v>
      </c>
      <c r="F177">
        <v>0</v>
      </c>
      <c r="G177">
        <v>0</v>
      </c>
      <c r="H177">
        <v>0</v>
      </c>
      <c r="J177" t="s">
        <v>260</v>
      </c>
      <c r="K177">
        <v>0</v>
      </c>
      <c r="L177">
        <v>0</v>
      </c>
      <c r="M177">
        <v>0</v>
      </c>
      <c r="N177">
        <v>0</v>
      </c>
      <c r="O177" t="s">
        <v>83</v>
      </c>
    </row>
    <row r="178" spans="3:15">
      <c r="J178" t="s">
        <v>262</v>
      </c>
      <c r="K178">
        <v>0</v>
      </c>
      <c r="L178">
        <v>0</v>
      </c>
      <c r="M178">
        <v>0</v>
      </c>
      <c r="N178">
        <v>0</v>
      </c>
      <c r="O178" t="s">
        <v>83</v>
      </c>
    </row>
    <row r="179" spans="3:15">
      <c r="J179" t="s">
        <v>264</v>
      </c>
      <c r="K179">
        <v>0</v>
      </c>
      <c r="L179">
        <v>0</v>
      </c>
      <c r="M179">
        <v>0</v>
      </c>
      <c r="N179">
        <v>0</v>
      </c>
      <c r="O179" t="s">
        <v>83</v>
      </c>
    </row>
    <row r="180" spans="3:15">
      <c r="C180" s="25">
        <v>42065.875706018516</v>
      </c>
      <c r="D180" s="2">
        <v>42065.875706018516</v>
      </c>
      <c r="E180" t="s">
        <v>59</v>
      </c>
      <c r="F180">
        <v>0</v>
      </c>
      <c r="G180">
        <v>0</v>
      </c>
      <c r="H180">
        <v>0</v>
      </c>
      <c r="K180">
        <v>0</v>
      </c>
      <c r="L180" t="s">
        <v>165</v>
      </c>
      <c r="N180">
        <v>0</v>
      </c>
      <c r="O180" t="s">
        <v>391</v>
      </c>
    </row>
    <row r="181" spans="3:15">
      <c r="L181" t="s">
        <v>274</v>
      </c>
      <c r="N181">
        <v>0</v>
      </c>
      <c r="O181" t="s">
        <v>392</v>
      </c>
    </row>
    <row r="182" spans="3:15">
      <c r="L182" t="s">
        <v>278</v>
      </c>
      <c r="N182">
        <v>0</v>
      </c>
      <c r="O182" t="s">
        <v>387</v>
      </c>
    </row>
    <row r="183" spans="3:15">
      <c r="L183" t="s">
        <v>280</v>
      </c>
      <c r="N183">
        <v>0</v>
      </c>
      <c r="O183" t="s">
        <v>393</v>
      </c>
    </row>
    <row r="184" spans="3:15">
      <c r="L184" t="s">
        <v>282</v>
      </c>
      <c r="N184">
        <v>0</v>
      </c>
      <c r="O184" t="s">
        <v>393</v>
      </c>
    </row>
    <row r="185" spans="3:15">
      <c r="L185" t="s">
        <v>286</v>
      </c>
      <c r="N185">
        <v>0</v>
      </c>
      <c r="O185" t="s">
        <v>394</v>
      </c>
    </row>
    <row r="186" spans="3:15">
      <c r="E186" t="s">
        <v>98</v>
      </c>
      <c r="F186">
        <v>0</v>
      </c>
      <c r="G186">
        <v>0</v>
      </c>
      <c r="H186">
        <v>0</v>
      </c>
      <c r="J186" t="s">
        <v>275</v>
      </c>
      <c r="K186">
        <v>0</v>
      </c>
      <c r="L186">
        <v>0</v>
      </c>
      <c r="M186">
        <v>0</v>
      </c>
      <c r="N186">
        <v>0</v>
      </c>
      <c r="O186" t="s">
        <v>83</v>
      </c>
    </row>
    <row r="187" spans="3:15">
      <c r="C187" s="25">
        <v>42065.875821759262</v>
      </c>
      <c r="D187" s="2">
        <v>42065.875821759262</v>
      </c>
      <c r="E187" t="s">
        <v>98</v>
      </c>
      <c r="F187">
        <v>0</v>
      </c>
      <c r="G187">
        <v>0</v>
      </c>
      <c r="H187">
        <v>0</v>
      </c>
      <c r="J187" t="s">
        <v>287</v>
      </c>
      <c r="K187">
        <v>0</v>
      </c>
      <c r="L187">
        <v>0</v>
      </c>
      <c r="M187">
        <v>0</v>
      </c>
      <c r="N187">
        <v>0</v>
      </c>
      <c r="O187" t="s">
        <v>83</v>
      </c>
    </row>
    <row r="188" spans="3:15">
      <c r="C188" s="25">
        <v>42065.87604166667</v>
      </c>
      <c r="D188" s="2">
        <v>42065.87604166667</v>
      </c>
      <c r="E188" t="s">
        <v>59</v>
      </c>
      <c r="F188">
        <v>0</v>
      </c>
      <c r="G188">
        <v>0</v>
      </c>
      <c r="H188">
        <v>0</v>
      </c>
      <c r="K188">
        <v>0</v>
      </c>
      <c r="L188" t="s">
        <v>217</v>
      </c>
      <c r="N188">
        <v>0</v>
      </c>
      <c r="O188" t="s">
        <v>395</v>
      </c>
    </row>
    <row r="189" spans="3:15">
      <c r="C189" s="25">
        <v>42065.877627314818</v>
      </c>
      <c r="D189" s="2">
        <v>42065.877627314818</v>
      </c>
      <c r="E189" t="s">
        <v>98</v>
      </c>
      <c r="F189">
        <v>0</v>
      </c>
      <c r="G189">
        <v>0</v>
      </c>
      <c r="H189">
        <v>0</v>
      </c>
      <c r="J189" t="s">
        <v>206</v>
      </c>
      <c r="K189">
        <v>0</v>
      </c>
      <c r="L189">
        <v>0</v>
      </c>
      <c r="M189">
        <v>0</v>
      </c>
      <c r="N189">
        <v>0</v>
      </c>
      <c r="O189" t="s">
        <v>83</v>
      </c>
    </row>
    <row r="190" spans="3:15">
      <c r="C190" s="25">
        <v>42065.880231481482</v>
      </c>
      <c r="D190" s="2">
        <v>42065.880231481482</v>
      </c>
      <c r="E190" t="s">
        <v>98</v>
      </c>
      <c r="F190">
        <v>0</v>
      </c>
      <c r="G190">
        <v>0</v>
      </c>
      <c r="H190">
        <v>0</v>
      </c>
      <c r="J190" t="s">
        <v>206</v>
      </c>
      <c r="K190">
        <v>0</v>
      </c>
      <c r="L190">
        <v>0</v>
      </c>
      <c r="M190">
        <v>0</v>
      </c>
      <c r="N190">
        <v>0</v>
      </c>
      <c r="O190" t="s">
        <v>83</v>
      </c>
    </row>
    <row r="191" spans="3:15">
      <c r="C191" s="25">
        <v>42065.88113425926</v>
      </c>
      <c r="D191" s="2">
        <v>42065.88113425926</v>
      </c>
      <c r="E191" t="s">
        <v>59</v>
      </c>
      <c r="F191">
        <v>0</v>
      </c>
      <c r="G191">
        <v>0</v>
      </c>
      <c r="H191">
        <v>0</v>
      </c>
      <c r="K191">
        <v>0</v>
      </c>
      <c r="L191" t="s">
        <v>217</v>
      </c>
      <c r="N191">
        <v>0</v>
      </c>
      <c r="O191" t="s">
        <v>396</v>
      </c>
    </row>
    <row r="192" spans="3:15">
      <c r="C192" s="25">
        <v>42065.897222222222</v>
      </c>
      <c r="D192" s="2">
        <v>42065.897222222222</v>
      </c>
      <c r="E192" t="s">
        <v>98</v>
      </c>
      <c r="F192">
        <v>0</v>
      </c>
      <c r="G192">
        <v>0</v>
      </c>
      <c r="H192">
        <v>0</v>
      </c>
      <c r="J192" t="s">
        <v>288</v>
      </c>
      <c r="K192">
        <v>0</v>
      </c>
      <c r="L192">
        <v>0</v>
      </c>
      <c r="M192">
        <v>0</v>
      </c>
      <c r="N192">
        <v>0</v>
      </c>
      <c r="O192" t="s">
        <v>83</v>
      </c>
    </row>
    <row r="193" spans="3:15">
      <c r="J193" t="s">
        <v>289</v>
      </c>
      <c r="K193">
        <v>0</v>
      </c>
      <c r="L193">
        <v>0</v>
      </c>
      <c r="M193">
        <v>0</v>
      </c>
      <c r="N193">
        <v>0</v>
      </c>
      <c r="O193" t="s">
        <v>83</v>
      </c>
    </row>
    <row r="194" spans="3:15">
      <c r="C194" s="25">
        <v>42065.89744212963</v>
      </c>
      <c r="D194" s="2">
        <v>42065.89744212963</v>
      </c>
      <c r="E194" t="s">
        <v>98</v>
      </c>
      <c r="F194">
        <v>0</v>
      </c>
      <c r="G194">
        <v>0</v>
      </c>
      <c r="H194">
        <v>0</v>
      </c>
      <c r="J194" t="s">
        <v>290</v>
      </c>
      <c r="K194">
        <v>0</v>
      </c>
      <c r="L194">
        <v>0</v>
      </c>
      <c r="M194">
        <v>0</v>
      </c>
      <c r="N194">
        <v>0</v>
      </c>
      <c r="O194" t="s">
        <v>83</v>
      </c>
    </row>
    <row r="195" spans="3:15">
      <c r="C195" s="25">
        <v>42065.897465277776</v>
      </c>
      <c r="D195" s="2">
        <v>42065.897465277776</v>
      </c>
      <c r="E195" t="s">
        <v>19</v>
      </c>
      <c r="F195">
        <v>0</v>
      </c>
      <c r="G195">
        <v>139.39483999999999</v>
      </c>
      <c r="H195">
        <v>35.585920000000002</v>
      </c>
      <c r="I195" t="s">
        <v>232</v>
      </c>
      <c r="J195" t="s">
        <v>292</v>
      </c>
      <c r="K195" t="s">
        <v>81</v>
      </c>
      <c r="L195">
        <v>0</v>
      </c>
      <c r="M195">
        <v>0</v>
      </c>
      <c r="N195">
        <v>0</v>
      </c>
      <c r="O195" t="s">
        <v>83</v>
      </c>
    </row>
    <row r="196" spans="3:15">
      <c r="E196" t="s">
        <v>98</v>
      </c>
      <c r="F196">
        <v>0</v>
      </c>
      <c r="G196">
        <v>0</v>
      </c>
      <c r="H196">
        <v>0</v>
      </c>
      <c r="J196" t="s">
        <v>293</v>
      </c>
      <c r="K196">
        <v>0</v>
      </c>
      <c r="L196">
        <v>0</v>
      </c>
      <c r="M196">
        <v>0</v>
      </c>
      <c r="N196">
        <v>0</v>
      </c>
      <c r="O196" t="s">
        <v>83</v>
      </c>
    </row>
    <row r="197" spans="3:15">
      <c r="C197" s="25">
        <v>42065.900578703702</v>
      </c>
      <c r="D197" s="2">
        <v>42065.900578703702</v>
      </c>
      <c r="E197" t="s">
        <v>59</v>
      </c>
      <c r="F197">
        <v>0</v>
      </c>
      <c r="G197">
        <v>0</v>
      </c>
      <c r="H197">
        <v>0</v>
      </c>
      <c r="K197">
        <v>0</v>
      </c>
      <c r="L197" t="s">
        <v>217</v>
      </c>
      <c r="N197">
        <v>0</v>
      </c>
      <c r="O197" t="s">
        <v>397</v>
      </c>
    </row>
    <row r="198" spans="3:15">
      <c r="C198" s="25">
        <v>42065.900601851848</v>
      </c>
      <c r="D198" s="2">
        <v>42065.900601851848</v>
      </c>
      <c r="E198" t="s">
        <v>98</v>
      </c>
      <c r="F198">
        <v>0</v>
      </c>
      <c r="G198">
        <v>0</v>
      </c>
      <c r="H198">
        <v>0</v>
      </c>
      <c r="J198" t="s">
        <v>288</v>
      </c>
      <c r="K198">
        <v>0</v>
      </c>
      <c r="L198">
        <v>0</v>
      </c>
      <c r="M198">
        <v>0</v>
      </c>
      <c r="N198">
        <v>0</v>
      </c>
      <c r="O198" t="s">
        <v>83</v>
      </c>
    </row>
    <row r="199" spans="3:15">
      <c r="C199" s="25">
        <v>42065.901053240741</v>
      </c>
      <c r="D199" s="2">
        <v>42065.901053240741</v>
      </c>
      <c r="E199" t="s">
        <v>59</v>
      </c>
      <c r="F199">
        <v>0</v>
      </c>
      <c r="G199">
        <v>0</v>
      </c>
      <c r="H199">
        <v>0</v>
      </c>
      <c r="K199">
        <v>0</v>
      </c>
      <c r="L199" t="s">
        <v>217</v>
      </c>
      <c r="N199">
        <v>0</v>
      </c>
      <c r="O199" t="s">
        <v>396</v>
      </c>
    </row>
    <row r="200" spans="3:15">
      <c r="C200" s="25">
        <v>42065.901550925926</v>
      </c>
      <c r="D200" s="2">
        <v>42065.901550925926</v>
      </c>
      <c r="E200" t="s">
        <v>59</v>
      </c>
      <c r="F200">
        <v>0</v>
      </c>
      <c r="G200">
        <v>0</v>
      </c>
      <c r="H200">
        <v>0</v>
      </c>
      <c r="K200">
        <v>0</v>
      </c>
      <c r="L200" t="s">
        <v>144</v>
      </c>
      <c r="N200">
        <v>0</v>
      </c>
      <c r="O200" t="s">
        <v>398</v>
      </c>
    </row>
    <row r="201" spans="3:15">
      <c r="C201" s="25">
        <v>42065.901585648149</v>
      </c>
      <c r="D201" s="2">
        <v>42065.901585648149</v>
      </c>
      <c r="E201" t="s">
        <v>59</v>
      </c>
      <c r="F201">
        <v>0</v>
      </c>
      <c r="G201">
        <v>0</v>
      </c>
      <c r="H201">
        <v>0</v>
      </c>
      <c r="K201">
        <v>0</v>
      </c>
      <c r="L201" t="s">
        <v>144</v>
      </c>
      <c r="N201">
        <v>0</v>
      </c>
      <c r="O201" t="s">
        <v>398</v>
      </c>
    </row>
    <row r="202" spans="3:15">
      <c r="O202" t="s">
        <v>399</v>
      </c>
    </row>
    <row r="203" spans="3:15">
      <c r="E203" t="s">
        <v>98</v>
      </c>
      <c r="F203">
        <v>0</v>
      </c>
      <c r="G203">
        <v>0</v>
      </c>
      <c r="H203">
        <v>0</v>
      </c>
      <c r="J203" t="s">
        <v>206</v>
      </c>
      <c r="K203">
        <v>0</v>
      </c>
      <c r="L203">
        <v>0</v>
      </c>
      <c r="M203">
        <v>0</v>
      </c>
      <c r="N203">
        <v>0</v>
      </c>
      <c r="O203" t="s">
        <v>83</v>
      </c>
    </row>
    <row r="204" spans="3:15">
      <c r="C204" s="25">
        <v>42065.901597222219</v>
      </c>
      <c r="D204" s="2">
        <v>42065.901597222219</v>
      </c>
      <c r="E204" t="s">
        <v>59</v>
      </c>
      <c r="F204">
        <v>0</v>
      </c>
      <c r="G204">
        <v>0</v>
      </c>
      <c r="H204">
        <v>0</v>
      </c>
      <c r="K204">
        <v>0</v>
      </c>
      <c r="L204" t="s">
        <v>144</v>
      </c>
      <c r="N204">
        <v>0</v>
      </c>
      <c r="O204" t="s">
        <v>400</v>
      </c>
    </row>
    <row r="205" spans="3:15">
      <c r="O205" t="s">
        <v>401</v>
      </c>
    </row>
    <row r="206" spans="3:15">
      <c r="O206" t="s">
        <v>402</v>
      </c>
    </row>
    <row r="207" spans="3:15">
      <c r="E207" t="s">
        <v>98</v>
      </c>
      <c r="F207">
        <v>0</v>
      </c>
      <c r="G207">
        <v>0</v>
      </c>
      <c r="H207">
        <v>0</v>
      </c>
      <c r="J207" t="s">
        <v>206</v>
      </c>
      <c r="K207">
        <v>0</v>
      </c>
      <c r="L207">
        <v>0</v>
      </c>
      <c r="M207">
        <v>0</v>
      </c>
      <c r="N207">
        <v>0</v>
      </c>
      <c r="O207" t="s">
        <v>83</v>
      </c>
    </row>
    <row r="208" spans="3:15">
      <c r="C208" s="25">
        <v>42065.901608796295</v>
      </c>
      <c r="D208" s="2">
        <v>42065.901608796295</v>
      </c>
      <c r="E208" t="s">
        <v>59</v>
      </c>
      <c r="F208">
        <v>0</v>
      </c>
      <c r="G208">
        <v>0</v>
      </c>
      <c r="H208">
        <v>0</v>
      </c>
      <c r="K208">
        <v>0</v>
      </c>
      <c r="L208" t="s">
        <v>144</v>
      </c>
      <c r="N208">
        <v>0</v>
      </c>
      <c r="O208" t="s">
        <v>403</v>
      </c>
    </row>
    <row r="209" spans="5:15">
      <c r="O209" t="s">
        <v>404</v>
      </c>
    </row>
    <row r="210" spans="5:15">
      <c r="L210" t="s">
        <v>6</v>
      </c>
      <c r="N210">
        <v>0</v>
      </c>
      <c r="O210" t="s">
        <v>348</v>
      </c>
    </row>
    <row r="211" spans="5:15">
      <c r="L211" t="s">
        <v>165</v>
      </c>
      <c r="N211">
        <v>0</v>
      </c>
      <c r="O211" t="s">
        <v>391</v>
      </c>
    </row>
    <row r="212" spans="5:15">
      <c r="L212" t="s">
        <v>259</v>
      </c>
      <c r="N212">
        <v>0</v>
      </c>
      <c r="O212" t="s">
        <v>389</v>
      </c>
    </row>
    <row r="213" spans="5:15">
      <c r="L213" t="s">
        <v>266</v>
      </c>
      <c r="N213">
        <v>0</v>
      </c>
      <c r="O213" t="s">
        <v>390</v>
      </c>
    </row>
    <row r="214" spans="5:15">
      <c r="L214" t="s">
        <v>274</v>
      </c>
      <c r="N214">
        <v>0</v>
      </c>
      <c r="O214" t="s">
        <v>405</v>
      </c>
    </row>
    <row r="215" spans="5:15">
      <c r="L215" t="s">
        <v>278</v>
      </c>
      <c r="N215">
        <v>0</v>
      </c>
      <c r="O215" t="s">
        <v>348</v>
      </c>
    </row>
    <row r="216" spans="5:15">
      <c r="L216" t="s">
        <v>280</v>
      </c>
      <c r="N216">
        <v>0</v>
      </c>
      <c r="O216" t="s">
        <v>393</v>
      </c>
    </row>
    <row r="217" spans="5:15">
      <c r="L217" t="s">
        <v>282</v>
      </c>
      <c r="N217">
        <v>0</v>
      </c>
      <c r="O217" t="s">
        <v>393</v>
      </c>
    </row>
    <row r="218" spans="5:15">
      <c r="L218" t="s">
        <v>299</v>
      </c>
      <c r="N218">
        <v>0</v>
      </c>
      <c r="O218" t="s">
        <v>348</v>
      </c>
    </row>
    <row r="219" spans="5:15">
      <c r="L219" t="s">
        <v>301</v>
      </c>
      <c r="N219">
        <v>0</v>
      </c>
      <c r="O219" t="s">
        <v>406</v>
      </c>
    </row>
    <row r="220" spans="5:15">
      <c r="L220" t="s">
        <v>304</v>
      </c>
      <c r="N220">
        <v>0</v>
      </c>
      <c r="O220" t="s">
        <v>406</v>
      </c>
    </row>
    <row r="221" spans="5:15">
      <c r="L221" t="s">
        <v>306</v>
      </c>
      <c r="N221">
        <v>0</v>
      </c>
      <c r="O221" t="s">
        <v>406</v>
      </c>
    </row>
    <row r="222" spans="5:15">
      <c r="E222" t="s">
        <v>19</v>
      </c>
      <c r="F222">
        <v>0</v>
      </c>
      <c r="G222">
        <v>139.39483999999999</v>
      </c>
      <c r="H222">
        <v>35.585920000000002</v>
      </c>
      <c r="I222" t="s">
        <v>232</v>
      </c>
      <c r="J222" t="s">
        <v>6</v>
      </c>
      <c r="K222" t="s">
        <v>82</v>
      </c>
      <c r="L222">
        <v>0</v>
      </c>
      <c r="M222">
        <v>0</v>
      </c>
      <c r="N222">
        <v>0</v>
      </c>
      <c r="O222" t="s">
        <v>83</v>
      </c>
    </row>
    <row r="223" spans="5:15">
      <c r="E223" t="s">
        <v>98</v>
      </c>
      <c r="F223">
        <v>0</v>
      </c>
      <c r="G223">
        <v>0</v>
      </c>
      <c r="H223">
        <v>0</v>
      </c>
      <c r="J223" t="s">
        <v>262</v>
      </c>
      <c r="K223">
        <v>0</v>
      </c>
      <c r="L223">
        <v>0</v>
      </c>
      <c r="M223">
        <v>0</v>
      </c>
      <c r="N223">
        <v>0</v>
      </c>
      <c r="O223" t="s">
        <v>83</v>
      </c>
    </row>
    <row r="224" spans="5:15">
      <c r="J224" t="s">
        <v>288</v>
      </c>
      <c r="K224">
        <v>0</v>
      </c>
      <c r="L224">
        <v>0</v>
      </c>
      <c r="M224">
        <v>0</v>
      </c>
      <c r="N224">
        <v>0</v>
      </c>
      <c r="O224" t="s">
        <v>83</v>
      </c>
    </row>
    <row r="225" spans="3:15">
      <c r="J225" t="s">
        <v>289</v>
      </c>
      <c r="K225">
        <v>0</v>
      </c>
      <c r="L225">
        <v>0</v>
      </c>
      <c r="M225">
        <v>0</v>
      </c>
      <c r="N225">
        <v>0</v>
      </c>
      <c r="O225" t="s">
        <v>83</v>
      </c>
    </row>
    <row r="226" spans="3:15">
      <c r="J226" t="s">
        <v>296</v>
      </c>
      <c r="K226">
        <v>0</v>
      </c>
      <c r="L226">
        <v>0</v>
      </c>
      <c r="M226">
        <v>0</v>
      </c>
      <c r="N226">
        <v>0</v>
      </c>
      <c r="O226" t="s">
        <v>83</v>
      </c>
    </row>
    <row r="227" spans="3:15">
      <c r="C227" s="25">
        <v>42065.901620370372</v>
      </c>
      <c r="D227" s="2">
        <v>42065.901620370372</v>
      </c>
      <c r="E227" t="s">
        <v>59</v>
      </c>
      <c r="F227">
        <v>0</v>
      </c>
      <c r="G227">
        <v>0</v>
      </c>
      <c r="H227">
        <v>0</v>
      </c>
      <c r="K227">
        <v>0</v>
      </c>
      <c r="L227" t="s">
        <v>165</v>
      </c>
      <c r="N227">
        <v>0</v>
      </c>
      <c r="O227" t="s">
        <v>407</v>
      </c>
    </row>
    <row r="228" spans="3:15">
      <c r="E228" t="s">
        <v>19</v>
      </c>
      <c r="F228">
        <v>0</v>
      </c>
      <c r="G228">
        <v>139.39483999999999</v>
      </c>
      <c r="H228">
        <v>35.585970000000003</v>
      </c>
      <c r="I228" t="s">
        <v>232</v>
      </c>
      <c r="J228" t="s">
        <v>159</v>
      </c>
      <c r="K228" t="s">
        <v>82</v>
      </c>
      <c r="L228">
        <v>0</v>
      </c>
      <c r="M228">
        <v>0</v>
      </c>
      <c r="N228">
        <v>0</v>
      </c>
      <c r="O228" t="s">
        <v>83</v>
      </c>
    </row>
    <row r="229" spans="3:15">
      <c r="E229" t="s">
        <v>98</v>
      </c>
      <c r="F229">
        <v>0</v>
      </c>
      <c r="G229">
        <v>0</v>
      </c>
      <c r="H229">
        <v>0</v>
      </c>
      <c r="J229" t="s">
        <v>206</v>
      </c>
      <c r="K229">
        <v>0</v>
      </c>
      <c r="L229">
        <v>0</v>
      </c>
      <c r="M229">
        <v>0</v>
      </c>
      <c r="N229">
        <v>0</v>
      </c>
      <c r="O229" t="s">
        <v>83</v>
      </c>
    </row>
    <row r="230" spans="3:15">
      <c r="C230" s="25">
        <v>42065.901631944442</v>
      </c>
      <c r="D230" s="2">
        <v>42065.901631944442</v>
      </c>
      <c r="E230" t="s">
        <v>59</v>
      </c>
      <c r="F230">
        <v>0</v>
      </c>
      <c r="G230">
        <v>0</v>
      </c>
      <c r="H230">
        <v>0</v>
      </c>
      <c r="K230">
        <v>0</v>
      </c>
      <c r="L230" t="s">
        <v>217</v>
      </c>
      <c r="N230">
        <v>0</v>
      </c>
      <c r="O230" t="s">
        <v>408</v>
      </c>
    </row>
    <row r="231" spans="3:15">
      <c r="C231" s="25">
        <v>42065.901643518519</v>
      </c>
      <c r="D231" s="2">
        <v>42065.901643518519</v>
      </c>
      <c r="E231" t="s">
        <v>59</v>
      </c>
      <c r="F231">
        <v>0</v>
      </c>
      <c r="G231">
        <v>0</v>
      </c>
      <c r="H231">
        <v>0</v>
      </c>
      <c r="K231">
        <v>0</v>
      </c>
      <c r="L231" t="s">
        <v>144</v>
      </c>
      <c r="N231">
        <v>0</v>
      </c>
      <c r="O231" t="s">
        <v>409</v>
      </c>
    </row>
    <row r="232" spans="3:15">
      <c r="O232" t="s">
        <v>410</v>
      </c>
    </row>
    <row r="233" spans="3:15">
      <c r="E233" t="s">
        <v>98</v>
      </c>
      <c r="F233">
        <v>0</v>
      </c>
      <c r="G233">
        <v>0</v>
      </c>
      <c r="H233">
        <v>0</v>
      </c>
      <c r="J233" t="s">
        <v>206</v>
      </c>
      <c r="K233">
        <v>0</v>
      </c>
      <c r="L233">
        <v>0</v>
      </c>
      <c r="M233">
        <v>0</v>
      </c>
      <c r="N233">
        <v>0</v>
      </c>
      <c r="O233" t="s">
        <v>83</v>
      </c>
    </row>
    <row r="234" spans="3:15">
      <c r="C234" s="25">
        <v>42065.901655092595</v>
      </c>
      <c r="D234" s="2">
        <v>42065.901655092595</v>
      </c>
      <c r="E234" t="s">
        <v>59</v>
      </c>
      <c r="F234">
        <v>0</v>
      </c>
      <c r="G234">
        <v>0</v>
      </c>
      <c r="H234">
        <v>0</v>
      </c>
      <c r="K234">
        <v>0</v>
      </c>
      <c r="L234" t="s">
        <v>144</v>
      </c>
      <c r="N234">
        <v>0</v>
      </c>
      <c r="O234" t="s">
        <v>411</v>
      </c>
    </row>
    <row r="235" spans="3:15">
      <c r="O235" t="s">
        <v>412</v>
      </c>
    </row>
    <row r="236" spans="3:15">
      <c r="C236" s="25">
        <v>42065.901666666665</v>
      </c>
      <c r="D236" s="2">
        <v>42065.901666666665</v>
      </c>
      <c r="E236" t="s">
        <v>59</v>
      </c>
      <c r="F236">
        <v>0</v>
      </c>
      <c r="G236">
        <v>0</v>
      </c>
      <c r="H236">
        <v>0</v>
      </c>
      <c r="K236">
        <v>0</v>
      </c>
      <c r="L236" t="s">
        <v>144</v>
      </c>
      <c r="N236">
        <v>0</v>
      </c>
      <c r="O236" t="s">
        <v>413</v>
      </c>
    </row>
    <row r="237" spans="3:15">
      <c r="C237" s="25">
        <v>42065.901724537034</v>
      </c>
      <c r="D237" s="2">
        <v>42065.901724537034</v>
      </c>
      <c r="E237" t="s">
        <v>98</v>
      </c>
      <c r="F237">
        <v>0</v>
      </c>
      <c r="G237">
        <v>0</v>
      </c>
      <c r="H237">
        <v>0</v>
      </c>
      <c r="J237" t="s">
        <v>194</v>
      </c>
      <c r="K237">
        <v>0</v>
      </c>
      <c r="L237">
        <v>0</v>
      </c>
      <c r="M237">
        <v>0</v>
      </c>
      <c r="N237">
        <v>0</v>
      </c>
      <c r="O237" t="s">
        <v>83</v>
      </c>
    </row>
    <row r="238" spans="3:15">
      <c r="C238" s="25">
        <v>42065.901747685188</v>
      </c>
      <c r="D238" s="2">
        <v>42065.901747685188</v>
      </c>
      <c r="E238" t="s">
        <v>59</v>
      </c>
      <c r="F238">
        <v>0</v>
      </c>
      <c r="G238">
        <v>0</v>
      </c>
      <c r="H238">
        <v>0</v>
      </c>
      <c r="K238">
        <v>0</v>
      </c>
      <c r="L238" t="s">
        <v>217</v>
      </c>
      <c r="N238">
        <v>0</v>
      </c>
      <c r="O238" t="s">
        <v>414</v>
      </c>
    </row>
    <row r="239" spans="3:15">
      <c r="C239" s="25">
        <v>42065.901828703703</v>
      </c>
      <c r="D239" s="2">
        <v>42065.901828703703</v>
      </c>
      <c r="E239" t="s">
        <v>59</v>
      </c>
      <c r="F239">
        <v>0</v>
      </c>
      <c r="G239">
        <v>0</v>
      </c>
      <c r="H239">
        <v>0</v>
      </c>
      <c r="K239">
        <v>0</v>
      </c>
      <c r="L239" t="s">
        <v>203</v>
      </c>
      <c r="N239">
        <v>0</v>
      </c>
      <c r="O239" t="s">
        <v>415</v>
      </c>
    </row>
    <row r="240" spans="3:15">
      <c r="E240" t="s">
        <v>98</v>
      </c>
      <c r="F240">
        <v>0</v>
      </c>
      <c r="G240">
        <v>0</v>
      </c>
      <c r="H240">
        <v>0</v>
      </c>
      <c r="J240" t="s">
        <v>290</v>
      </c>
      <c r="K240">
        <v>0</v>
      </c>
      <c r="L240">
        <v>0</v>
      </c>
      <c r="M240">
        <v>0</v>
      </c>
      <c r="N240">
        <v>0</v>
      </c>
      <c r="O240" t="s">
        <v>83</v>
      </c>
    </row>
    <row r="241" spans="3:15">
      <c r="C241" s="25">
        <v>42065.90184027778</v>
      </c>
      <c r="D241" s="2">
        <v>42065.90184027778</v>
      </c>
      <c r="E241" t="s">
        <v>98</v>
      </c>
      <c r="F241">
        <v>0</v>
      </c>
      <c r="G241">
        <v>0</v>
      </c>
      <c r="H241">
        <v>0</v>
      </c>
      <c r="J241" t="s">
        <v>253</v>
      </c>
      <c r="K241">
        <v>0</v>
      </c>
      <c r="L241">
        <v>0</v>
      </c>
      <c r="M241">
        <v>0</v>
      </c>
      <c r="N241">
        <v>0</v>
      </c>
      <c r="O241" t="s">
        <v>83</v>
      </c>
    </row>
    <row r="242" spans="3:15">
      <c r="C242" s="25">
        <v>42065.90185185185</v>
      </c>
      <c r="D242" s="2">
        <v>42065.90185185185</v>
      </c>
      <c r="E242" t="s">
        <v>19</v>
      </c>
      <c r="F242">
        <v>0</v>
      </c>
      <c r="G242">
        <v>139.39483999999999</v>
      </c>
      <c r="H242">
        <v>35.585970000000003</v>
      </c>
      <c r="I242" t="s">
        <v>232</v>
      </c>
      <c r="J242" t="s">
        <v>292</v>
      </c>
      <c r="K242" t="s">
        <v>82</v>
      </c>
      <c r="L242">
        <v>0</v>
      </c>
      <c r="M242">
        <v>0</v>
      </c>
      <c r="N242">
        <v>0</v>
      </c>
      <c r="O242" t="s">
        <v>83</v>
      </c>
    </row>
    <row r="243" spans="3:15">
      <c r="E243" t="s">
        <v>98</v>
      </c>
      <c r="F243">
        <v>0</v>
      </c>
      <c r="G243">
        <v>0</v>
      </c>
      <c r="H243">
        <v>0</v>
      </c>
      <c r="J243" t="s">
        <v>293</v>
      </c>
      <c r="K243">
        <v>0</v>
      </c>
      <c r="L243">
        <v>0</v>
      </c>
      <c r="M243">
        <v>0</v>
      </c>
      <c r="N243">
        <v>0</v>
      </c>
      <c r="O243" t="s">
        <v>83</v>
      </c>
    </row>
    <row r="244" spans="3:15">
      <c r="C244" s="25">
        <v>42065.901863425926</v>
      </c>
      <c r="D244" s="2">
        <v>42065.901863425926</v>
      </c>
      <c r="E244" t="s">
        <v>59</v>
      </c>
      <c r="F244">
        <v>0</v>
      </c>
      <c r="G244">
        <v>0</v>
      </c>
      <c r="H244">
        <v>0</v>
      </c>
      <c r="K244">
        <v>0</v>
      </c>
      <c r="L244" t="s">
        <v>217</v>
      </c>
      <c r="N244">
        <v>0</v>
      </c>
      <c r="O244" t="s">
        <v>416</v>
      </c>
    </row>
    <row r="245" spans="3:15">
      <c r="C245" s="25">
        <v>42065.902708333335</v>
      </c>
      <c r="D245" s="2">
        <v>42065.902708333335</v>
      </c>
      <c r="E245" t="s">
        <v>59</v>
      </c>
      <c r="F245">
        <v>0</v>
      </c>
      <c r="G245">
        <v>0</v>
      </c>
      <c r="H245">
        <v>0</v>
      </c>
      <c r="K245">
        <v>0</v>
      </c>
      <c r="L245" t="s">
        <v>310</v>
      </c>
      <c r="N245">
        <v>0</v>
      </c>
      <c r="O245" t="s">
        <v>406</v>
      </c>
    </row>
    <row r="246" spans="3:15">
      <c r="E246" t="s">
        <v>98</v>
      </c>
      <c r="F246">
        <v>0</v>
      </c>
      <c r="G246">
        <v>0</v>
      </c>
      <c r="H246">
        <v>0</v>
      </c>
      <c r="J246" t="s">
        <v>307</v>
      </c>
      <c r="K246">
        <v>0</v>
      </c>
      <c r="L246">
        <v>0</v>
      </c>
      <c r="M246">
        <v>0</v>
      </c>
      <c r="N246">
        <v>0</v>
      </c>
      <c r="O246" t="s">
        <v>83</v>
      </c>
    </row>
    <row r="247" spans="3:15">
      <c r="C247" s="25">
        <v>42065.902719907404</v>
      </c>
      <c r="D247" s="2">
        <v>42065.902719907404</v>
      </c>
      <c r="E247" t="s">
        <v>98</v>
      </c>
      <c r="F247">
        <v>0</v>
      </c>
      <c r="G247">
        <v>0</v>
      </c>
      <c r="H247">
        <v>0</v>
      </c>
      <c r="J247" t="s">
        <v>311</v>
      </c>
      <c r="K247">
        <v>0</v>
      </c>
      <c r="L247">
        <v>0</v>
      </c>
      <c r="M247">
        <v>0</v>
      </c>
      <c r="N247">
        <v>0</v>
      </c>
      <c r="O247" t="s">
        <v>83</v>
      </c>
    </row>
    <row r="248" spans="3:15">
      <c r="C248" s="25">
        <v>42065.902777777781</v>
      </c>
      <c r="D248" s="2">
        <v>42065.902777777781</v>
      </c>
      <c r="E248" t="s">
        <v>59</v>
      </c>
      <c r="F248">
        <v>0</v>
      </c>
      <c r="G248">
        <v>0</v>
      </c>
      <c r="H248">
        <v>0</v>
      </c>
      <c r="K248">
        <v>0</v>
      </c>
      <c r="L248" t="s">
        <v>310</v>
      </c>
      <c r="N248">
        <v>0</v>
      </c>
      <c r="O248" t="s">
        <v>387</v>
      </c>
    </row>
    <row r="249" spans="3:15">
      <c r="C249" s="25">
        <v>42065.902800925927</v>
      </c>
      <c r="D249" s="2">
        <v>42065.902800925927</v>
      </c>
      <c r="E249" t="s">
        <v>98</v>
      </c>
      <c r="F249">
        <v>0</v>
      </c>
      <c r="G249">
        <v>0</v>
      </c>
      <c r="H249">
        <v>0</v>
      </c>
      <c r="J249" t="s">
        <v>236</v>
      </c>
      <c r="K249">
        <v>0</v>
      </c>
      <c r="L249">
        <v>0</v>
      </c>
      <c r="M249">
        <v>0</v>
      </c>
      <c r="N249">
        <v>0</v>
      </c>
      <c r="O249" t="s">
        <v>83</v>
      </c>
    </row>
    <row r="250" spans="3:15">
      <c r="C250" s="25">
        <v>42065.902812499997</v>
      </c>
      <c r="D250" s="2">
        <v>42065.902812499997</v>
      </c>
      <c r="E250" t="s">
        <v>98</v>
      </c>
      <c r="F250">
        <v>0</v>
      </c>
      <c r="G250">
        <v>0</v>
      </c>
      <c r="H250">
        <v>0</v>
      </c>
      <c r="J250" t="s">
        <v>238</v>
      </c>
      <c r="K250">
        <v>0</v>
      </c>
      <c r="L250">
        <v>0</v>
      </c>
      <c r="M250">
        <v>0</v>
      </c>
      <c r="N250">
        <v>0</v>
      </c>
      <c r="O250" t="s">
        <v>83</v>
      </c>
    </row>
    <row r="251" spans="3:15">
      <c r="J251" t="s">
        <v>240</v>
      </c>
      <c r="K251">
        <v>0</v>
      </c>
      <c r="L251">
        <v>0</v>
      </c>
      <c r="M251">
        <v>0</v>
      </c>
      <c r="N251">
        <v>0</v>
      </c>
      <c r="O251" t="s">
        <v>83</v>
      </c>
    </row>
    <row r="252" spans="3:15">
      <c r="C252" s="25">
        <v>42065.902824074074</v>
      </c>
      <c r="D252" s="2">
        <v>42065.902824074074</v>
      </c>
      <c r="E252" t="s">
        <v>98</v>
      </c>
      <c r="F252">
        <v>0</v>
      </c>
      <c r="G252">
        <v>0</v>
      </c>
      <c r="H252">
        <v>0</v>
      </c>
      <c r="J252" t="s">
        <v>236</v>
      </c>
      <c r="K252">
        <v>0</v>
      </c>
      <c r="L252">
        <v>0</v>
      </c>
      <c r="M252">
        <v>0</v>
      </c>
      <c r="N252">
        <v>0</v>
      </c>
      <c r="O252" t="s">
        <v>83</v>
      </c>
    </row>
    <row r="253" spans="3:15">
      <c r="C253" s="25">
        <v>42065.90283564815</v>
      </c>
      <c r="D253" s="2">
        <v>42065.90283564815</v>
      </c>
      <c r="E253" t="s">
        <v>98</v>
      </c>
      <c r="F253">
        <v>0</v>
      </c>
      <c r="G253">
        <v>0</v>
      </c>
      <c r="H253">
        <v>0</v>
      </c>
      <c r="J253" t="s">
        <v>238</v>
      </c>
      <c r="K253">
        <v>0</v>
      </c>
      <c r="L253">
        <v>0</v>
      </c>
      <c r="M253">
        <v>0</v>
      </c>
      <c r="N253">
        <v>0</v>
      </c>
      <c r="O253" t="s">
        <v>83</v>
      </c>
    </row>
    <row r="254" spans="3:15">
      <c r="C254" s="25">
        <v>42065.90284722222</v>
      </c>
      <c r="D254" s="2">
        <v>42065.90284722222</v>
      </c>
      <c r="E254" t="s">
        <v>59</v>
      </c>
      <c r="F254">
        <v>0</v>
      </c>
      <c r="G254">
        <v>0</v>
      </c>
      <c r="H254">
        <v>0</v>
      </c>
      <c r="K254">
        <v>0</v>
      </c>
      <c r="L254" t="s">
        <v>310</v>
      </c>
      <c r="N254">
        <v>0</v>
      </c>
      <c r="O254" t="s">
        <v>406</v>
      </c>
    </row>
    <row r="255" spans="3:15">
      <c r="E255" t="s">
        <v>19</v>
      </c>
      <c r="F255">
        <v>1</v>
      </c>
      <c r="G255">
        <v>139.39479</v>
      </c>
      <c r="H255">
        <v>35.58605</v>
      </c>
      <c r="I255" t="s">
        <v>232</v>
      </c>
      <c r="J255" t="s">
        <v>195</v>
      </c>
      <c r="K255" t="s">
        <v>82</v>
      </c>
      <c r="L255">
        <v>0</v>
      </c>
      <c r="M255">
        <v>0</v>
      </c>
      <c r="N255">
        <v>0</v>
      </c>
      <c r="O255" t="s">
        <v>83</v>
      </c>
    </row>
    <row r="256" spans="3:15">
      <c r="E256" t="s">
        <v>98</v>
      </c>
      <c r="F256">
        <v>0</v>
      </c>
      <c r="G256">
        <v>0</v>
      </c>
      <c r="H256">
        <v>0</v>
      </c>
      <c r="J256" t="s">
        <v>318</v>
      </c>
      <c r="K256">
        <v>0</v>
      </c>
      <c r="L256">
        <v>0</v>
      </c>
      <c r="M256">
        <v>0</v>
      </c>
      <c r="N256">
        <v>0</v>
      </c>
      <c r="O256" t="s">
        <v>83</v>
      </c>
    </row>
    <row r="257" spans="3:15">
      <c r="C257" s="25">
        <v>42065.902858796297</v>
      </c>
      <c r="D257" s="2">
        <v>42065.902858796297</v>
      </c>
      <c r="E257" t="s">
        <v>19</v>
      </c>
      <c r="F257">
        <v>0</v>
      </c>
      <c r="G257">
        <v>139.39479</v>
      </c>
      <c r="H257">
        <v>35.58605</v>
      </c>
      <c r="I257" t="s">
        <v>232</v>
      </c>
      <c r="J257" t="s">
        <v>195</v>
      </c>
      <c r="K257" t="s">
        <v>82</v>
      </c>
      <c r="L257">
        <v>0</v>
      </c>
      <c r="M257">
        <v>0</v>
      </c>
      <c r="N257">
        <v>0</v>
      </c>
      <c r="O257" t="s">
        <v>83</v>
      </c>
    </row>
    <row r="258" spans="3:15">
      <c r="C258" s="25">
        <v>42065.902870370373</v>
      </c>
      <c r="D258" s="2">
        <v>42065.902870370373</v>
      </c>
      <c r="E258" t="s">
        <v>19</v>
      </c>
      <c r="F258">
        <v>1</v>
      </c>
      <c r="G258">
        <v>139.39479</v>
      </c>
      <c r="H258">
        <v>35.58605</v>
      </c>
      <c r="I258" t="s">
        <v>232</v>
      </c>
      <c r="J258" t="s">
        <v>195</v>
      </c>
      <c r="K258" t="s">
        <v>82</v>
      </c>
      <c r="L258">
        <v>0</v>
      </c>
      <c r="M258">
        <v>0</v>
      </c>
      <c r="N258">
        <v>0</v>
      </c>
      <c r="O258" t="s">
        <v>83</v>
      </c>
    </row>
    <row r="259" spans="3:15">
      <c r="C259" s="25">
        <v>42065.902997685182</v>
      </c>
      <c r="D259" s="2">
        <v>42065.902997685182</v>
      </c>
      <c r="E259" t="s">
        <v>19</v>
      </c>
      <c r="F259">
        <v>4</v>
      </c>
      <c r="G259">
        <v>139.39474999999999</v>
      </c>
      <c r="H259">
        <v>35.586069999999999</v>
      </c>
      <c r="I259" t="s">
        <v>232</v>
      </c>
      <c r="J259" t="s">
        <v>224</v>
      </c>
      <c r="K259" t="s">
        <v>82</v>
      </c>
      <c r="L259">
        <v>0</v>
      </c>
      <c r="M259">
        <v>0</v>
      </c>
      <c r="N259">
        <v>0</v>
      </c>
      <c r="O259" t="s">
        <v>83</v>
      </c>
    </row>
    <row r="260" spans="3:15">
      <c r="C260" s="25">
        <v>42065.903020833335</v>
      </c>
      <c r="D260" s="2">
        <v>42065.903020833335</v>
      </c>
      <c r="E260" t="s">
        <v>19</v>
      </c>
      <c r="F260">
        <v>0</v>
      </c>
      <c r="G260">
        <v>139.39474999999999</v>
      </c>
      <c r="H260">
        <v>35.586069999999999</v>
      </c>
      <c r="I260" t="s">
        <v>232</v>
      </c>
      <c r="J260" t="s">
        <v>195</v>
      </c>
      <c r="K260" t="s">
        <v>82</v>
      </c>
      <c r="L260">
        <v>0</v>
      </c>
      <c r="M260">
        <v>0</v>
      </c>
      <c r="N260">
        <v>0</v>
      </c>
      <c r="O260" t="s">
        <v>83</v>
      </c>
    </row>
    <row r="261" spans="3:15">
      <c r="E261" t="s">
        <v>98</v>
      </c>
      <c r="F261">
        <v>0</v>
      </c>
      <c r="G261">
        <v>0</v>
      </c>
      <c r="H261">
        <v>0</v>
      </c>
      <c r="J261" t="s">
        <v>311</v>
      </c>
      <c r="K261">
        <v>0</v>
      </c>
      <c r="L261">
        <v>0</v>
      </c>
      <c r="M261">
        <v>0</v>
      </c>
      <c r="N261">
        <v>0</v>
      </c>
      <c r="O261" t="s">
        <v>83</v>
      </c>
    </row>
    <row r="262" spans="3:15">
      <c r="C262" s="25">
        <v>42065.903055555558</v>
      </c>
      <c r="D262" s="2">
        <v>42065.903055555558</v>
      </c>
      <c r="E262" t="s">
        <v>59</v>
      </c>
      <c r="F262">
        <v>0</v>
      </c>
      <c r="G262">
        <v>0</v>
      </c>
      <c r="H262">
        <v>0</v>
      </c>
      <c r="K262">
        <v>0</v>
      </c>
      <c r="L262" t="s">
        <v>310</v>
      </c>
      <c r="N262">
        <v>0</v>
      </c>
      <c r="O262" t="s">
        <v>387</v>
      </c>
    </row>
    <row r="263" spans="3:15">
      <c r="E263" t="s">
        <v>19</v>
      </c>
      <c r="F263">
        <v>1</v>
      </c>
      <c r="G263">
        <v>139.39474999999999</v>
      </c>
      <c r="H263">
        <v>35.586069999999999</v>
      </c>
      <c r="I263" t="s">
        <v>232</v>
      </c>
      <c r="J263" t="s">
        <v>195</v>
      </c>
      <c r="K263" t="s">
        <v>82</v>
      </c>
      <c r="L263">
        <v>0</v>
      </c>
      <c r="M263">
        <v>0</v>
      </c>
      <c r="N263">
        <v>0</v>
      </c>
      <c r="O263" t="s">
        <v>83</v>
      </c>
    </row>
    <row r="264" spans="3:15">
      <c r="C264" s="25">
        <v>42065.903078703705</v>
      </c>
      <c r="D264" s="2">
        <v>42065.903078703705</v>
      </c>
      <c r="E264" t="s">
        <v>59</v>
      </c>
      <c r="F264">
        <v>0</v>
      </c>
      <c r="G264">
        <v>0</v>
      </c>
      <c r="H264">
        <v>0</v>
      </c>
      <c r="K264">
        <v>0</v>
      </c>
      <c r="L264" t="s">
        <v>165</v>
      </c>
      <c r="N264">
        <v>0</v>
      </c>
      <c r="O264" t="s">
        <v>417</v>
      </c>
    </row>
    <row r="265" spans="3:15">
      <c r="C265" s="25">
        <v>42065.903101851851</v>
      </c>
      <c r="D265" s="2">
        <v>42065.903101851851</v>
      </c>
      <c r="E265" t="s">
        <v>59</v>
      </c>
      <c r="F265">
        <v>0</v>
      </c>
      <c r="G265">
        <v>0</v>
      </c>
      <c r="H265">
        <v>0</v>
      </c>
      <c r="K265">
        <v>0</v>
      </c>
      <c r="L265" t="s">
        <v>274</v>
      </c>
      <c r="N265">
        <v>0</v>
      </c>
      <c r="O265" t="s">
        <v>418</v>
      </c>
    </row>
    <row r="266" spans="3:15">
      <c r="L266" t="s">
        <v>280</v>
      </c>
      <c r="N266">
        <v>0</v>
      </c>
      <c r="O266" t="s">
        <v>419</v>
      </c>
    </row>
    <row r="267" spans="3:15">
      <c r="L267" t="s">
        <v>282</v>
      </c>
      <c r="N267">
        <v>0</v>
      </c>
      <c r="O267" t="s">
        <v>420</v>
      </c>
    </row>
    <row r="268" spans="3:15">
      <c r="C268" s="25">
        <v>42065.903148148151</v>
      </c>
      <c r="D268" s="2">
        <v>42065.903148148151</v>
      </c>
      <c r="E268" t="s">
        <v>59</v>
      </c>
      <c r="F268">
        <v>0</v>
      </c>
      <c r="G268">
        <v>0</v>
      </c>
      <c r="H268">
        <v>0</v>
      </c>
      <c r="K268">
        <v>0</v>
      </c>
      <c r="L268" t="s">
        <v>165</v>
      </c>
      <c r="N268">
        <v>0</v>
      </c>
      <c r="O268" t="s">
        <v>421</v>
      </c>
    </row>
    <row r="269" spans="3:15">
      <c r="C269" s="25">
        <v>42065.903171296297</v>
      </c>
      <c r="D269" s="2">
        <v>42065.903171296297</v>
      </c>
      <c r="E269" t="s">
        <v>59</v>
      </c>
      <c r="F269">
        <v>0</v>
      </c>
      <c r="G269">
        <v>0</v>
      </c>
      <c r="H269">
        <v>0</v>
      </c>
      <c r="K269">
        <v>0</v>
      </c>
      <c r="L269" t="s">
        <v>165</v>
      </c>
      <c r="N269">
        <v>0</v>
      </c>
      <c r="O269" t="s">
        <v>422</v>
      </c>
    </row>
    <row r="270" spans="3:15">
      <c r="C270" s="25">
        <v>42065.903252314813</v>
      </c>
      <c r="D270" s="2">
        <v>42065.903252314813</v>
      </c>
      <c r="E270" t="s">
        <v>59</v>
      </c>
      <c r="F270">
        <v>0</v>
      </c>
      <c r="G270">
        <v>0</v>
      </c>
      <c r="H270">
        <v>0</v>
      </c>
      <c r="K270">
        <v>0</v>
      </c>
      <c r="L270" t="s">
        <v>217</v>
      </c>
      <c r="N270">
        <v>0</v>
      </c>
      <c r="O270" t="s">
        <v>423</v>
      </c>
    </row>
    <row r="271" spans="3:15">
      <c r="C271" s="25">
        <v>42065.903310185182</v>
      </c>
      <c r="D271" s="2">
        <v>42065.903310185182</v>
      </c>
      <c r="E271" t="s">
        <v>19</v>
      </c>
      <c r="F271">
        <v>44</v>
      </c>
      <c r="G271">
        <v>139.39633000000001</v>
      </c>
      <c r="H271">
        <v>35.585610000000003</v>
      </c>
      <c r="I271" t="s">
        <v>232</v>
      </c>
      <c r="J271" t="s">
        <v>211</v>
      </c>
      <c r="K271" t="s">
        <v>82</v>
      </c>
      <c r="L271">
        <v>0</v>
      </c>
      <c r="M271">
        <v>0</v>
      </c>
      <c r="N271">
        <v>0</v>
      </c>
      <c r="O271" t="s">
        <v>83</v>
      </c>
    </row>
    <row r="272" spans="3:15">
      <c r="C272" s="25">
        <v>42065.903368055559</v>
      </c>
      <c r="D272" s="2">
        <v>42065.903368055559</v>
      </c>
      <c r="E272" t="s">
        <v>59</v>
      </c>
      <c r="F272">
        <v>0</v>
      </c>
      <c r="G272">
        <v>0</v>
      </c>
      <c r="H272">
        <v>0</v>
      </c>
      <c r="K272">
        <v>0</v>
      </c>
      <c r="L272" t="s">
        <v>217</v>
      </c>
      <c r="N272">
        <v>0</v>
      </c>
      <c r="O272" t="s">
        <v>424</v>
      </c>
    </row>
    <row r="273" spans="3:15">
      <c r="C273" s="25">
        <v>42065.903449074074</v>
      </c>
      <c r="D273" s="2">
        <v>42065.903449074074</v>
      </c>
      <c r="E273" t="s">
        <v>59</v>
      </c>
      <c r="F273">
        <v>0</v>
      </c>
      <c r="G273">
        <v>0</v>
      </c>
      <c r="H273">
        <v>0</v>
      </c>
      <c r="K273">
        <v>0</v>
      </c>
      <c r="L273" t="s">
        <v>203</v>
      </c>
      <c r="N273">
        <v>0</v>
      </c>
      <c r="O273" t="s">
        <v>425</v>
      </c>
    </row>
    <row r="274" spans="3:15">
      <c r="C274" s="25">
        <v>42065.903483796297</v>
      </c>
      <c r="D274" s="2">
        <v>42065.903483796297</v>
      </c>
      <c r="E274" t="s">
        <v>59</v>
      </c>
      <c r="F274">
        <v>0</v>
      </c>
      <c r="G274">
        <v>0</v>
      </c>
      <c r="H274">
        <v>0</v>
      </c>
      <c r="K274">
        <v>0</v>
      </c>
      <c r="L274" t="s">
        <v>217</v>
      </c>
      <c r="N274">
        <v>0</v>
      </c>
      <c r="O274" t="s">
        <v>426</v>
      </c>
    </row>
    <row r="275" spans="3:15">
      <c r="C275" s="25">
        <v>42065.903553240743</v>
      </c>
      <c r="D275" s="2">
        <v>42065.903553240743</v>
      </c>
      <c r="E275" t="s">
        <v>19</v>
      </c>
      <c r="F275">
        <v>48</v>
      </c>
      <c r="G275">
        <v>139.39913999999999</v>
      </c>
      <c r="H275">
        <v>35.584919999999997</v>
      </c>
      <c r="I275" t="s">
        <v>232</v>
      </c>
      <c r="J275" t="s">
        <v>210</v>
      </c>
      <c r="K275" t="s">
        <v>82</v>
      </c>
      <c r="L275">
        <v>0</v>
      </c>
      <c r="M275">
        <v>0</v>
      </c>
      <c r="N275">
        <v>0</v>
      </c>
      <c r="O275" t="s">
        <v>83</v>
      </c>
    </row>
    <row r="276" spans="3:15">
      <c r="C276" s="25">
        <v>42065.903587962966</v>
      </c>
      <c r="D276" s="2">
        <v>42065.903587962966</v>
      </c>
      <c r="E276" t="s">
        <v>59</v>
      </c>
      <c r="F276">
        <v>0</v>
      </c>
      <c r="G276">
        <v>0</v>
      </c>
      <c r="H276">
        <v>0</v>
      </c>
      <c r="K276">
        <v>0</v>
      </c>
      <c r="L276" t="s">
        <v>165</v>
      </c>
      <c r="N276">
        <v>0</v>
      </c>
      <c r="O276" t="s">
        <v>427</v>
      </c>
    </row>
    <row r="277" spans="3:15">
      <c r="C277" s="25">
        <v>42065.903807870367</v>
      </c>
      <c r="D277" s="2">
        <v>42065.903807870367</v>
      </c>
      <c r="E277" t="s">
        <v>19</v>
      </c>
      <c r="F277">
        <v>37</v>
      </c>
      <c r="G277">
        <v>139.40172999999999</v>
      </c>
      <c r="H277">
        <v>35.58408</v>
      </c>
      <c r="I277" t="s">
        <v>232</v>
      </c>
      <c r="J277" t="s">
        <v>211</v>
      </c>
      <c r="K277" t="s">
        <v>82</v>
      </c>
      <c r="L277">
        <v>0</v>
      </c>
      <c r="M277">
        <v>0</v>
      </c>
      <c r="N277">
        <v>0</v>
      </c>
      <c r="O277" t="s">
        <v>83</v>
      </c>
    </row>
    <row r="278" spans="3:15">
      <c r="C278" s="25">
        <v>42065.903854166667</v>
      </c>
      <c r="D278" s="2">
        <v>42065.903854166667</v>
      </c>
      <c r="E278" t="s">
        <v>59</v>
      </c>
      <c r="F278">
        <v>0</v>
      </c>
      <c r="G278">
        <v>0</v>
      </c>
      <c r="H278">
        <v>0</v>
      </c>
      <c r="K278">
        <v>0</v>
      </c>
      <c r="L278" t="s">
        <v>274</v>
      </c>
      <c r="N278">
        <v>0</v>
      </c>
      <c r="O278" t="s">
        <v>405</v>
      </c>
    </row>
    <row r="279" spans="3:15">
      <c r="L279" t="s">
        <v>280</v>
      </c>
      <c r="N279">
        <v>0</v>
      </c>
      <c r="O279" t="s">
        <v>393</v>
      </c>
    </row>
    <row r="280" spans="3:15">
      <c r="L280" t="s">
        <v>282</v>
      </c>
      <c r="N280">
        <v>0</v>
      </c>
      <c r="O280" t="s">
        <v>420</v>
      </c>
    </row>
    <row r="281" spans="3:15">
      <c r="C281" s="25">
        <v>42065.903865740744</v>
      </c>
      <c r="D281" s="2">
        <v>42065.903865740744</v>
      </c>
      <c r="E281" t="s">
        <v>59</v>
      </c>
      <c r="F281">
        <v>0</v>
      </c>
      <c r="G281">
        <v>0</v>
      </c>
      <c r="H281">
        <v>0</v>
      </c>
      <c r="K281">
        <v>0</v>
      </c>
      <c r="L281" t="s">
        <v>274</v>
      </c>
      <c r="N281">
        <v>0</v>
      </c>
      <c r="O281" t="s">
        <v>418</v>
      </c>
    </row>
    <row r="282" spans="3:15">
      <c r="L282" t="s">
        <v>280</v>
      </c>
      <c r="N282">
        <v>0</v>
      </c>
      <c r="O282" t="s">
        <v>428</v>
      </c>
    </row>
    <row r="283" spans="3:15">
      <c r="L283" t="s">
        <v>282</v>
      </c>
      <c r="N283">
        <v>0</v>
      </c>
      <c r="O283" t="s">
        <v>393</v>
      </c>
    </row>
    <row r="284" spans="3:15">
      <c r="C284" s="25">
        <v>42065.903912037036</v>
      </c>
      <c r="D284" s="2">
        <v>42065.903912037036</v>
      </c>
      <c r="E284" t="s">
        <v>59</v>
      </c>
      <c r="F284">
        <v>0</v>
      </c>
      <c r="G284">
        <v>0</v>
      </c>
      <c r="H284">
        <v>0</v>
      </c>
      <c r="K284">
        <v>0</v>
      </c>
      <c r="L284" t="s">
        <v>274</v>
      </c>
      <c r="N284">
        <v>0</v>
      </c>
      <c r="O284" t="s">
        <v>418</v>
      </c>
    </row>
    <row r="285" spans="3:15">
      <c r="L285" t="s">
        <v>280</v>
      </c>
      <c r="N285">
        <v>0</v>
      </c>
      <c r="O285" t="s">
        <v>429</v>
      </c>
    </row>
    <row r="286" spans="3:15">
      <c r="L286" t="s">
        <v>282</v>
      </c>
      <c r="N286">
        <v>0</v>
      </c>
      <c r="O286" t="s">
        <v>393</v>
      </c>
    </row>
    <row r="287" spans="3:15">
      <c r="E287" t="s">
        <v>19</v>
      </c>
      <c r="F287">
        <v>0</v>
      </c>
      <c r="G287">
        <v>139.4023</v>
      </c>
      <c r="H287">
        <v>35.5839</v>
      </c>
      <c r="I287" t="s">
        <v>232</v>
      </c>
      <c r="J287" t="s">
        <v>195</v>
      </c>
      <c r="K287" t="s">
        <v>82</v>
      </c>
      <c r="L287">
        <v>0</v>
      </c>
      <c r="M287">
        <v>0</v>
      </c>
      <c r="N287">
        <v>0</v>
      </c>
      <c r="O287" t="s">
        <v>83</v>
      </c>
    </row>
    <row r="288" spans="3:15">
      <c r="C288" s="25">
        <v>42065.903946759259</v>
      </c>
      <c r="D288" s="2">
        <v>42065.903946759259</v>
      </c>
      <c r="E288" t="s">
        <v>59</v>
      </c>
      <c r="F288">
        <v>0</v>
      </c>
      <c r="G288">
        <v>0</v>
      </c>
      <c r="H288">
        <v>0</v>
      </c>
      <c r="K288">
        <v>0</v>
      </c>
      <c r="L288" t="s">
        <v>217</v>
      </c>
      <c r="N288">
        <v>0</v>
      </c>
      <c r="O288" t="s">
        <v>430</v>
      </c>
    </row>
    <row r="289" spans="3:15">
      <c r="C289" s="25">
        <v>42065.904050925928</v>
      </c>
      <c r="D289" s="2">
        <v>42065.904050925928</v>
      </c>
      <c r="E289" t="s">
        <v>59</v>
      </c>
      <c r="F289">
        <v>0</v>
      </c>
      <c r="G289">
        <v>0</v>
      </c>
      <c r="H289">
        <v>0</v>
      </c>
      <c r="K289">
        <v>0</v>
      </c>
      <c r="L289" t="s">
        <v>165</v>
      </c>
      <c r="N289">
        <v>0</v>
      </c>
      <c r="O289" t="s">
        <v>431</v>
      </c>
    </row>
    <row r="290" spans="3:15">
      <c r="C290" s="25">
        <v>42065.904062499998</v>
      </c>
      <c r="D290" s="2">
        <v>42065.904062499998</v>
      </c>
      <c r="E290" t="s">
        <v>59</v>
      </c>
      <c r="F290">
        <v>0</v>
      </c>
      <c r="G290">
        <v>0</v>
      </c>
      <c r="H290">
        <v>0</v>
      </c>
      <c r="K290">
        <v>0</v>
      </c>
      <c r="L290" t="s">
        <v>217</v>
      </c>
      <c r="N290">
        <v>0</v>
      </c>
      <c r="O290" t="s">
        <v>432</v>
      </c>
    </row>
    <row r="291" spans="3:15">
      <c r="C291" s="25">
        <v>42065.904074074075</v>
      </c>
      <c r="D291" s="2">
        <v>42065.904074074075</v>
      </c>
      <c r="E291" t="s">
        <v>98</v>
      </c>
      <c r="F291">
        <v>0</v>
      </c>
      <c r="G291">
        <v>0</v>
      </c>
      <c r="H291">
        <v>0</v>
      </c>
      <c r="J291" t="s">
        <v>321</v>
      </c>
      <c r="K291">
        <v>0</v>
      </c>
      <c r="L291">
        <v>0</v>
      </c>
      <c r="M291">
        <v>0</v>
      </c>
      <c r="N291">
        <v>0</v>
      </c>
      <c r="O291" t="s">
        <v>83</v>
      </c>
    </row>
    <row r="292" spans="3:15">
      <c r="J292" t="s">
        <v>323</v>
      </c>
      <c r="K292">
        <v>0</v>
      </c>
      <c r="L292">
        <v>0</v>
      </c>
      <c r="M292">
        <v>0</v>
      </c>
      <c r="N292">
        <v>0</v>
      </c>
      <c r="O292" t="s">
        <v>83</v>
      </c>
    </row>
    <row r="293" spans="3:15">
      <c r="J293" t="s">
        <v>324</v>
      </c>
      <c r="K293">
        <v>0</v>
      </c>
      <c r="L293">
        <v>0</v>
      </c>
      <c r="M293">
        <v>0</v>
      </c>
      <c r="N293">
        <v>0</v>
      </c>
      <c r="O293" t="s">
        <v>83</v>
      </c>
    </row>
    <row r="294" spans="3:15">
      <c r="J294" t="s">
        <v>326</v>
      </c>
      <c r="K294">
        <v>0</v>
      </c>
      <c r="L294">
        <v>0</v>
      </c>
      <c r="M294">
        <v>0</v>
      </c>
      <c r="N294">
        <v>0</v>
      </c>
      <c r="O294" t="s">
        <v>83</v>
      </c>
    </row>
    <row r="295" spans="3:15">
      <c r="J295" t="s">
        <v>328</v>
      </c>
      <c r="K295">
        <v>0</v>
      </c>
      <c r="L295">
        <v>0</v>
      </c>
      <c r="M295">
        <v>0</v>
      </c>
      <c r="N295">
        <v>0</v>
      </c>
      <c r="O295" t="s">
        <v>83</v>
      </c>
    </row>
    <row r="296" spans="3:15">
      <c r="C296" s="25">
        <v>42065.904143518521</v>
      </c>
      <c r="D296" s="2">
        <v>42065.904143518521</v>
      </c>
      <c r="E296" t="s">
        <v>19</v>
      </c>
      <c r="F296">
        <v>0</v>
      </c>
      <c r="G296">
        <v>139.4023</v>
      </c>
      <c r="H296">
        <v>35.5839</v>
      </c>
      <c r="I296" t="s">
        <v>232</v>
      </c>
      <c r="J296" t="s">
        <v>224</v>
      </c>
      <c r="K296" t="s">
        <v>82</v>
      </c>
      <c r="L296">
        <v>0</v>
      </c>
      <c r="M296">
        <v>0</v>
      </c>
      <c r="N296">
        <v>0</v>
      </c>
      <c r="O296" t="s">
        <v>83</v>
      </c>
    </row>
    <row r="297" spans="3:15">
      <c r="C297" s="25">
        <v>42065.904236111113</v>
      </c>
      <c r="D297" s="2">
        <v>42065.904236111113</v>
      </c>
      <c r="E297" t="s">
        <v>59</v>
      </c>
      <c r="F297">
        <v>0</v>
      </c>
      <c r="G297">
        <v>0</v>
      </c>
      <c r="H297">
        <v>0</v>
      </c>
      <c r="K297">
        <v>0</v>
      </c>
      <c r="L297" t="s">
        <v>165</v>
      </c>
      <c r="N297">
        <v>0</v>
      </c>
      <c r="O297" t="s">
        <v>433</v>
      </c>
    </row>
    <row r="298" spans="3:15">
      <c r="C298" s="25">
        <v>42065.904247685183</v>
      </c>
      <c r="D298" s="2">
        <v>42065.904247685183</v>
      </c>
      <c r="E298" t="s">
        <v>19</v>
      </c>
      <c r="F298">
        <v>3</v>
      </c>
      <c r="G298">
        <v>139.40231</v>
      </c>
      <c r="H298">
        <v>35.583950000000002</v>
      </c>
      <c r="I298" t="s">
        <v>232</v>
      </c>
      <c r="J298" t="s">
        <v>195</v>
      </c>
      <c r="K298" t="s">
        <v>82</v>
      </c>
      <c r="L298">
        <v>0</v>
      </c>
      <c r="M298">
        <v>0</v>
      </c>
      <c r="N298">
        <v>0</v>
      </c>
      <c r="O298" t="s">
        <v>83</v>
      </c>
    </row>
    <row r="299" spans="3:15">
      <c r="C299" s="25">
        <v>42065.90425925926</v>
      </c>
      <c r="D299" s="2">
        <v>42065.90425925926</v>
      </c>
      <c r="E299" t="s">
        <v>59</v>
      </c>
      <c r="F299">
        <v>0</v>
      </c>
      <c r="G299">
        <v>0</v>
      </c>
      <c r="H299">
        <v>0</v>
      </c>
      <c r="K299">
        <v>0</v>
      </c>
      <c r="L299" t="s">
        <v>165</v>
      </c>
      <c r="N299">
        <v>0</v>
      </c>
      <c r="O299" t="s">
        <v>434</v>
      </c>
    </row>
    <row r="300" spans="3:15">
      <c r="C300" s="25">
        <v>42065.904282407406</v>
      </c>
      <c r="D300" s="2">
        <v>42065.904282407406</v>
      </c>
      <c r="E300" t="s">
        <v>59</v>
      </c>
      <c r="F300">
        <v>0</v>
      </c>
      <c r="G300">
        <v>0</v>
      </c>
      <c r="H300">
        <v>0</v>
      </c>
      <c r="K300">
        <v>0</v>
      </c>
      <c r="L300" t="s">
        <v>165</v>
      </c>
      <c r="N300">
        <v>0</v>
      </c>
      <c r="O300" t="s">
        <v>435</v>
      </c>
    </row>
    <row r="301" spans="3:15">
      <c r="C301" s="25">
        <v>42065.904305555552</v>
      </c>
      <c r="D301" s="2">
        <v>42065.904305555552</v>
      </c>
      <c r="E301" t="s">
        <v>19</v>
      </c>
      <c r="F301">
        <v>29</v>
      </c>
      <c r="G301">
        <v>139.40260000000001</v>
      </c>
      <c r="H301">
        <v>35.583770000000001</v>
      </c>
      <c r="I301" t="s">
        <v>232</v>
      </c>
      <c r="J301" t="s">
        <v>211</v>
      </c>
      <c r="K301" t="s">
        <v>82</v>
      </c>
      <c r="L301">
        <v>0</v>
      </c>
      <c r="M301">
        <v>0</v>
      </c>
      <c r="N301">
        <v>0</v>
      </c>
      <c r="O301" t="s">
        <v>83</v>
      </c>
    </row>
    <row r="302" spans="3:15">
      <c r="C302" s="25">
        <v>42065.904409722221</v>
      </c>
      <c r="D302" s="2">
        <v>42065.904409722221</v>
      </c>
      <c r="E302" t="s">
        <v>19</v>
      </c>
      <c r="F302">
        <v>41</v>
      </c>
      <c r="G302">
        <v>139.40332000000001</v>
      </c>
      <c r="H302">
        <v>35.583159999999999</v>
      </c>
      <c r="I302" t="s">
        <v>232</v>
      </c>
      <c r="J302" t="s">
        <v>210</v>
      </c>
      <c r="K302" t="s">
        <v>82</v>
      </c>
      <c r="L302">
        <v>0</v>
      </c>
      <c r="M302">
        <v>0</v>
      </c>
      <c r="N302">
        <v>0</v>
      </c>
      <c r="O302" t="s">
        <v>83</v>
      </c>
    </row>
    <row r="303" spans="3:15">
      <c r="C303" s="25">
        <v>42065.904467592591</v>
      </c>
      <c r="D303" s="2">
        <v>42065.904467592591</v>
      </c>
      <c r="E303" t="s">
        <v>98</v>
      </c>
      <c r="F303">
        <v>0</v>
      </c>
      <c r="G303">
        <v>0</v>
      </c>
      <c r="H303">
        <v>0</v>
      </c>
      <c r="J303" t="s">
        <v>321</v>
      </c>
      <c r="K303">
        <v>0</v>
      </c>
      <c r="L303">
        <v>0</v>
      </c>
      <c r="M303">
        <v>0</v>
      </c>
      <c r="N303">
        <v>0</v>
      </c>
      <c r="O303" t="s">
        <v>83</v>
      </c>
    </row>
    <row r="304" spans="3:15">
      <c r="J304" t="s">
        <v>323</v>
      </c>
      <c r="K304">
        <v>0</v>
      </c>
      <c r="L304">
        <v>0</v>
      </c>
      <c r="M304">
        <v>0</v>
      </c>
      <c r="N304">
        <v>0</v>
      </c>
      <c r="O304" t="s">
        <v>83</v>
      </c>
    </row>
    <row r="305" spans="3:15">
      <c r="J305" t="s">
        <v>324</v>
      </c>
      <c r="K305">
        <v>0</v>
      </c>
      <c r="L305">
        <v>0</v>
      </c>
      <c r="M305">
        <v>0</v>
      </c>
      <c r="N305">
        <v>0</v>
      </c>
      <c r="O305" t="s">
        <v>83</v>
      </c>
    </row>
    <row r="306" spans="3:15">
      <c r="J306" t="s">
        <v>326</v>
      </c>
      <c r="K306">
        <v>0</v>
      </c>
      <c r="L306">
        <v>0</v>
      </c>
      <c r="M306">
        <v>0</v>
      </c>
      <c r="N306">
        <v>0</v>
      </c>
      <c r="O306" t="s">
        <v>83</v>
      </c>
    </row>
    <row r="307" spans="3:15">
      <c r="J307" t="s">
        <v>328</v>
      </c>
      <c r="K307">
        <v>0</v>
      </c>
      <c r="L307">
        <v>0</v>
      </c>
      <c r="M307">
        <v>0</v>
      </c>
      <c r="N307">
        <v>0</v>
      </c>
      <c r="O307" t="s">
        <v>83</v>
      </c>
    </row>
    <row r="308" spans="3:15">
      <c r="C308" s="25">
        <v>42065.90452546296</v>
      </c>
      <c r="D308" s="2">
        <v>42065.90452546296</v>
      </c>
      <c r="E308" t="s">
        <v>59</v>
      </c>
      <c r="F308">
        <v>0</v>
      </c>
      <c r="G308">
        <v>0</v>
      </c>
      <c r="H308">
        <v>0</v>
      </c>
      <c r="K308">
        <v>0</v>
      </c>
      <c r="L308" t="s">
        <v>217</v>
      </c>
      <c r="N308">
        <v>0</v>
      </c>
      <c r="O308" t="s">
        <v>424</v>
      </c>
    </row>
    <row r="309" spans="3:15">
      <c r="C309" s="25">
        <v>42065.904664351852</v>
      </c>
      <c r="D309" s="2">
        <v>42065.904664351852</v>
      </c>
      <c r="E309" t="s">
        <v>19</v>
      </c>
      <c r="F309">
        <v>44</v>
      </c>
      <c r="G309">
        <v>139.40468999999999</v>
      </c>
      <c r="H309">
        <v>35.581049999999998</v>
      </c>
      <c r="I309" t="s">
        <v>229</v>
      </c>
      <c r="J309" t="s">
        <v>210</v>
      </c>
      <c r="K309" t="s">
        <v>82</v>
      </c>
      <c r="L309">
        <v>0</v>
      </c>
      <c r="M309">
        <v>0</v>
      </c>
      <c r="N309">
        <v>0</v>
      </c>
      <c r="O309" t="s">
        <v>83</v>
      </c>
    </row>
    <row r="310" spans="3:15">
      <c r="C310" s="25">
        <v>42065.904803240737</v>
      </c>
      <c r="D310" s="2">
        <v>42065.904803240737</v>
      </c>
      <c r="E310" t="s">
        <v>98</v>
      </c>
      <c r="F310">
        <v>0</v>
      </c>
      <c r="G310">
        <v>0</v>
      </c>
      <c r="H310">
        <v>0</v>
      </c>
      <c r="J310" t="s">
        <v>290</v>
      </c>
      <c r="K310">
        <v>0</v>
      </c>
      <c r="L310">
        <v>0</v>
      </c>
      <c r="M310">
        <v>0</v>
      </c>
      <c r="N310">
        <v>0</v>
      </c>
      <c r="O310" t="s">
        <v>83</v>
      </c>
    </row>
    <row r="311" spans="3:15">
      <c r="C311" s="25">
        <v>42065.904826388891</v>
      </c>
      <c r="D311" s="2">
        <v>42065.904826388891</v>
      </c>
      <c r="E311" t="s">
        <v>19</v>
      </c>
      <c r="F311">
        <v>37</v>
      </c>
      <c r="G311">
        <v>139.40620000000001</v>
      </c>
      <c r="H311">
        <v>35.580489999999998</v>
      </c>
      <c r="I311" t="s">
        <v>229</v>
      </c>
      <c r="J311" t="s">
        <v>292</v>
      </c>
      <c r="K311" t="s">
        <v>82</v>
      </c>
      <c r="L311">
        <v>0</v>
      </c>
      <c r="M311">
        <v>0</v>
      </c>
      <c r="N311">
        <v>0</v>
      </c>
      <c r="O311" t="s">
        <v>83</v>
      </c>
    </row>
    <row r="312" spans="3:15">
      <c r="E312" t="s">
        <v>98</v>
      </c>
      <c r="F312">
        <v>0</v>
      </c>
      <c r="G312">
        <v>0</v>
      </c>
      <c r="H312">
        <v>0</v>
      </c>
      <c r="J312" t="s">
        <v>293</v>
      </c>
      <c r="K312">
        <v>0</v>
      </c>
      <c r="L312">
        <v>0</v>
      </c>
      <c r="M312">
        <v>0</v>
      </c>
      <c r="N312">
        <v>0</v>
      </c>
      <c r="O312" t="s">
        <v>83</v>
      </c>
    </row>
    <row r="313" spans="3:15">
      <c r="C313" s="25">
        <v>42065.904918981483</v>
      </c>
      <c r="D313" s="2">
        <v>42065.904918981483</v>
      </c>
      <c r="E313" t="s">
        <v>19</v>
      </c>
      <c r="F313">
        <v>42</v>
      </c>
      <c r="G313">
        <v>139.40710000000001</v>
      </c>
      <c r="H313">
        <v>35.580080000000002</v>
      </c>
      <c r="I313" t="s">
        <v>229</v>
      </c>
      <c r="J313" t="s">
        <v>211</v>
      </c>
      <c r="K313" t="s">
        <v>82</v>
      </c>
      <c r="L313">
        <v>0</v>
      </c>
      <c r="M313">
        <v>0</v>
      </c>
      <c r="N313">
        <v>0</v>
      </c>
      <c r="O313" t="s">
        <v>83</v>
      </c>
    </row>
    <row r="314" spans="3:15">
      <c r="C314" s="25">
        <v>42065.905011574076</v>
      </c>
      <c r="D314" s="2">
        <v>42065.905011574076</v>
      </c>
      <c r="E314" t="s">
        <v>19</v>
      </c>
      <c r="F314">
        <v>20</v>
      </c>
      <c r="G314">
        <v>139.40778</v>
      </c>
      <c r="H314">
        <v>35.579700000000003</v>
      </c>
      <c r="I314" t="s">
        <v>229</v>
      </c>
      <c r="J314" t="s">
        <v>210</v>
      </c>
      <c r="K314" t="s">
        <v>82</v>
      </c>
      <c r="L314">
        <v>0</v>
      </c>
      <c r="M314">
        <v>0</v>
      </c>
      <c r="N314">
        <v>0</v>
      </c>
      <c r="O314" t="s">
        <v>83</v>
      </c>
    </row>
    <row r="315" spans="3:15">
      <c r="C315" s="25">
        <v>42065.905034722222</v>
      </c>
      <c r="D315" s="2">
        <v>42065.905034722222</v>
      </c>
      <c r="E315" t="s">
        <v>59</v>
      </c>
      <c r="F315">
        <v>0</v>
      </c>
      <c r="G315">
        <v>0</v>
      </c>
      <c r="H315">
        <v>0</v>
      </c>
      <c r="K315">
        <v>0</v>
      </c>
      <c r="L315" t="s">
        <v>274</v>
      </c>
      <c r="N315">
        <v>0</v>
      </c>
      <c r="O315" t="s">
        <v>392</v>
      </c>
    </row>
    <row r="316" spans="3:15">
      <c r="L316" t="s">
        <v>280</v>
      </c>
      <c r="N316">
        <v>0</v>
      </c>
      <c r="O316" t="s">
        <v>436</v>
      </c>
    </row>
    <row r="317" spans="3:15">
      <c r="L317" t="s">
        <v>282</v>
      </c>
      <c r="N317">
        <v>0</v>
      </c>
      <c r="O317" t="s">
        <v>437</v>
      </c>
    </row>
    <row r="318" spans="3:15">
      <c r="C318" s="25">
        <v>42065.905057870368</v>
      </c>
      <c r="D318" s="2">
        <v>42065.905057870368</v>
      </c>
      <c r="E318" t="s">
        <v>19</v>
      </c>
      <c r="F318">
        <v>24</v>
      </c>
      <c r="G318">
        <v>139.40778</v>
      </c>
      <c r="H318">
        <v>35.57949</v>
      </c>
      <c r="I318" t="s">
        <v>334</v>
      </c>
      <c r="J318" t="s">
        <v>210</v>
      </c>
      <c r="K318" t="s">
        <v>82</v>
      </c>
      <c r="L318">
        <v>0</v>
      </c>
      <c r="M318">
        <v>0</v>
      </c>
      <c r="N318">
        <v>0</v>
      </c>
      <c r="O318" t="s">
        <v>83</v>
      </c>
    </row>
    <row r="319" spans="3:15">
      <c r="C319" s="25">
        <v>42065.905069444445</v>
      </c>
      <c r="D319" s="2">
        <v>42065.905069444445</v>
      </c>
      <c r="E319" t="s">
        <v>59</v>
      </c>
      <c r="F319">
        <v>0</v>
      </c>
      <c r="G319">
        <v>0</v>
      </c>
      <c r="H319">
        <v>0</v>
      </c>
      <c r="K319">
        <v>0</v>
      </c>
      <c r="L319" t="s">
        <v>274</v>
      </c>
      <c r="N319">
        <v>0</v>
      </c>
      <c r="O319" t="s">
        <v>418</v>
      </c>
    </row>
    <row r="320" spans="3:15">
      <c r="L320" t="s">
        <v>280</v>
      </c>
      <c r="N320">
        <v>0</v>
      </c>
      <c r="O320" t="s">
        <v>438</v>
      </c>
    </row>
    <row r="321" spans="3:15">
      <c r="L321" t="s">
        <v>282</v>
      </c>
      <c r="N321">
        <v>0</v>
      </c>
      <c r="O321" t="s">
        <v>439</v>
      </c>
    </row>
    <row r="322" spans="3:15">
      <c r="C322" s="25">
        <v>42065.905104166668</v>
      </c>
      <c r="D322" s="2">
        <v>42065.905104166668</v>
      </c>
      <c r="E322" t="s">
        <v>59</v>
      </c>
      <c r="F322">
        <v>0</v>
      </c>
      <c r="G322">
        <v>0</v>
      </c>
      <c r="H322">
        <v>0</v>
      </c>
      <c r="K322">
        <v>0</v>
      </c>
      <c r="L322" t="s">
        <v>217</v>
      </c>
      <c r="N322">
        <v>0</v>
      </c>
      <c r="O322" t="s">
        <v>440</v>
      </c>
    </row>
    <row r="323" spans="3:15">
      <c r="C323" s="25">
        <v>42065.905127314814</v>
      </c>
      <c r="D323" s="2">
        <v>42065.905127314814</v>
      </c>
      <c r="E323" t="s">
        <v>59</v>
      </c>
      <c r="F323">
        <v>0</v>
      </c>
      <c r="G323">
        <v>0</v>
      </c>
      <c r="H323">
        <v>0</v>
      </c>
      <c r="K323">
        <v>0</v>
      </c>
      <c r="L323" t="s">
        <v>165</v>
      </c>
      <c r="N323">
        <v>0</v>
      </c>
      <c r="O323" t="s">
        <v>441</v>
      </c>
    </row>
    <row r="324" spans="3:15">
      <c r="C324" s="25">
        <v>42065.905162037037</v>
      </c>
      <c r="D324" s="2">
        <v>42065.905162037037</v>
      </c>
      <c r="E324" t="s">
        <v>19</v>
      </c>
      <c r="F324">
        <v>37</v>
      </c>
      <c r="G324">
        <v>139.40714</v>
      </c>
      <c r="H324">
        <v>35.579059999999998</v>
      </c>
      <c r="I324" t="s">
        <v>335</v>
      </c>
      <c r="J324" t="s">
        <v>211</v>
      </c>
      <c r="K324" t="s">
        <v>82</v>
      </c>
      <c r="L324">
        <v>0</v>
      </c>
      <c r="M324">
        <v>0</v>
      </c>
      <c r="N324">
        <v>0</v>
      </c>
      <c r="O324" t="s">
        <v>83</v>
      </c>
    </row>
    <row r="325" spans="3:15">
      <c r="C325" s="25">
        <v>42065.905289351853</v>
      </c>
      <c r="D325" s="2">
        <v>42065.905289351853</v>
      </c>
      <c r="E325" t="s">
        <v>59</v>
      </c>
      <c r="F325">
        <v>0</v>
      </c>
      <c r="G325">
        <v>0</v>
      </c>
      <c r="H325">
        <v>0</v>
      </c>
      <c r="K325">
        <v>0</v>
      </c>
      <c r="L325" t="s">
        <v>274</v>
      </c>
      <c r="N325">
        <v>0</v>
      </c>
      <c r="O325" t="s">
        <v>418</v>
      </c>
    </row>
    <row r="326" spans="3:15">
      <c r="L326" t="s">
        <v>280</v>
      </c>
      <c r="N326">
        <v>0</v>
      </c>
      <c r="O326" t="s">
        <v>442</v>
      </c>
    </row>
    <row r="327" spans="3:15">
      <c r="L327" t="s">
        <v>282</v>
      </c>
      <c r="N327">
        <v>0</v>
      </c>
      <c r="O327" t="s">
        <v>393</v>
      </c>
    </row>
    <row r="328" spans="3:15">
      <c r="C328" s="25">
        <v>42065.905335648145</v>
      </c>
      <c r="D328" s="2">
        <v>42065.905335648145</v>
      </c>
      <c r="E328" t="s">
        <v>59</v>
      </c>
      <c r="F328">
        <v>0</v>
      </c>
      <c r="G328">
        <v>0</v>
      </c>
      <c r="H328">
        <v>0</v>
      </c>
      <c r="K328">
        <v>0</v>
      </c>
      <c r="L328" t="s">
        <v>217</v>
      </c>
      <c r="N328">
        <v>0</v>
      </c>
      <c r="O328" t="s">
        <v>424</v>
      </c>
    </row>
    <row r="329" spans="3:15">
      <c r="C329" s="25">
        <v>42065.905347222222</v>
      </c>
      <c r="D329" s="2">
        <v>42065.905347222222</v>
      </c>
      <c r="E329" t="s">
        <v>19</v>
      </c>
      <c r="F329">
        <v>0</v>
      </c>
      <c r="G329">
        <v>139.40634</v>
      </c>
      <c r="H329">
        <v>35.578519999999997</v>
      </c>
      <c r="I329" t="s">
        <v>336</v>
      </c>
      <c r="J329" t="s">
        <v>195</v>
      </c>
      <c r="K329" t="s">
        <v>82</v>
      </c>
      <c r="L329">
        <v>0</v>
      </c>
      <c r="M329">
        <v>0</v>
      </c>
      <c r="N329">
        <v>0</v>
      </c>
      <c r="O329" t="s">
        <v>83</v>
      </c>
    </row>
    <row r="330" spans="3:15">
      <c r="C330" s="25">
        <v>42065.905370370368</v>
      </c>
      <c r="D330" s="2">
        <v>42065.905370370368</v>
      </c>
      <c r="E330" t="s">
        <v>59</v>
      </c>
      <c r="F330">
        <v>0</v>
      </c>
      <c r="G330">
        <v>0</v>
      </c>
      <c r="H330">
        <v>0</v>
      </c>
      <c r="K330">
        <v>0</v>
      </c>
      <c r="L330" t="s">
        <v>165</v>
      </c>
      <c r="N330">
        <v>0</v>
      </c>
      <c r="O330" t="s">
        <v>431</v>
      </c>
    </row>
    <row r="331" spans="3:15">
      <c r="E331" t="s">
        <v>19</v>
      </c>
      <c r="F331">
        <v>1</v>
      </c>
      <c r="G331">
        <v>139.40634</v>
      </c>
      <c r="H331">
        <v>35.578519999999997</v>
      </c>
      <c r="I331" t="s">
        <v>336</v>
      </c>
      <c r="J331" t="s">
        <v>195</v>
      </c>
      <c r="K331" t="s">
        <v>82</v>
      </c>
      <c r="L331">
        <v>0</v>
      </c>
      <c r="M331">
        <v>0</v>
      </c>
      <c r="N331">
        <v>0</v>
      </c>
      <c r="O331" t="s">
        <v>83</v>
      </c>
    </row>
    <row r="332" spans="3:15">
      <c r="C332" s="25">
        <v>42065.905393518522</v>
      </c>
      <c r="D332" s="2">
        <v>42065.905393518522</v>
      </c>
      <c r="E332" t="s">
        <v>59</v>
      </c>
      <c r="F332">
        <v>0</v>
      </c>
      <c r="G332">
        <v>0</v>
      </c>
      <c r="H332">
        <v>0</v>
      </c>
      <c r="K332">
        <v>0</v>
      </c>
      <c r="L332" t="s">
        <v>274</v>
      </c>
      <c r="N332">
        <v>0</v>
      </c>
      <c r="O332" t="s">
        <v>443</v>
      </c>
    </row>
    <row r="333" spans="3:15">
      <c r="L333" t="s">
        <v>280</v>
      </c>
      <c r="N333">
        <v>0</v>
      </c>
      <c r="O333" t="s">
        <v>419</v>
      </c>
    </row>
    <row r="334" spans="3:15">
      <c r="L334" t="s">
        <v>282</v>
      </c>
      <c r="N334">
        <v>0</v>
      </c>
      <c r="O334" t="s">
        <v>393</v>
      </c>
    </row>
    <row r="335" spans="3:15">
      <c r="C335" s="25">
        <v>42065.905405092592</v>
      </c>
      <c r="D335" s="2">
        <v>42065.905405092592</v>
      </c>
      <c r="E335" t="s">
        <v>59</v>
      </c>
      <c r="F335">
        <v>0</v>
      </c>
      <c r="G335">
        <v>0</v>
      </c>
      <c r="H335">
        <v>0</v>
      </c>
      <c r="K335">
        <v>0</v>
      </c>
      <c r="L335" t="s">
        <v>165</v>
      </c>
      <c r="N335">
        <v>0</v>
      </c>
      <c r="O335" t="s">
        <v>444</v>
      </c>
    </row>
    <row r="336" spans="3:15">
      <c r="C336" s="25">
        <v>42065.905428240738</v>
      </c>
      <c r="D336" s="2">
        <v>42065.905428240738</v>
      </c>
      <c r="E336" t="s">
        <v>19</v>
      </c>
      <c r="F336">
        <v>24</v>
      </c>
      <c r="G336">
        <v>139.40619000000001</v>
      </c>
      <c r="H336">
        <v>35.578420000000001</v>
      </c>
      <c r="I336" t="s">
        <v>337</v>
      </c>
      <c r="J336" t="s">
        <v>211</v>
      </c>
      <c r="K336" t="s">
        <v>82</v>
      </c>
      <c r="L336">
        <v>0</v>
      </c>
      <c r="M336">
        <v>0</v>
      </c>
      <c r="N336">
        <v>0</v>
      </c>
      <c r="O336" t="s">
        <v>83</v>
      </c>
    </row>
    <row r="337" spans="3:15">
      <c r="C337" s="25">
        <v>42065.905439814815</v>
      </c>
      <c r="D337" s="2">
        <v>42065.905439814815</v>
      </c>
      <c r="E337" t="s">
        <v>59</v>
      </c>
      <c r="F337">
        <v>0</v>
      </c>
      <c r="G337">
        <v>0</v>
      </c>
      <c r="H337">
        <v>0</v>
      </c>
      <c r="K337">
        <v>0</v>
      </c>
      <c r="L337" t="s">
        <v>165</v>
      </c>
      <c r="N337">
        <v>0</v>
      </c>
      <c r="O337" t="s">
        <v>445</v>
      </c>
    </row>
    <row r="338" spans="3:15">
      <c r="C338" s="25">
        <v>42065.905462962961</v>
      </c>
      <c r="D338" s="2">
        <v>42065.905462962961</v>
      </c>
      <c r="E338" t="s">
        <v>98</v>
      </c>
      <c r="F338">
        <v>0</v>
      </c>
      <c r="G338">
        <v>0</v>
      </c>
      <c r="H338">
        <v>0</v>
      </c>
      <c r="J338" t="s">
        <v>206</v>
      </c>
      <c r="K338">
        <v>0</v>
      </c>
      <c r="L338">
        <v>0</v>
      </c>
      <c r="M338">
        <v>0</v>
      </c>
      <c r="N338">
        <v>0</v>
      </c>
      <c r="O338" t="s">
        <v>83</v>
      </c>
    </row>
    <row r="339" spans="3:15">
      <c r="C339" s="25">
        <v>42065.905555555553</v>
      </c>
      <c r="D339" s="2">
        <v>42065.905555555553</v>
      </c>
      <c r="E339" t="s">
        <v>98</v>
      </c>
      <c r="F339">
        <v>0</v>
      </c>
      <c r="G339">
        <v>0</v>
      </c>
      <c r="H339">
        <v>0</v>
      </c>
      <c r="J339" t="s">
        <v>206</v>
      </c>
      <c r="K339">
        <v>0</v>
      </c>
      <c r="L339">
        <v>0</v>
      </c>
      <c r="M339">
        <v>0</v>
      </c>
      <c r="N339">
        <v>0</v>
      </c>
      <c r="O339" t="s">
        <v>83</v>
      </c>
    </row>
    <row r="340" spans="3:15">
      <c r="C340" s="25">
        <v>42065.905578703707</v>
      </c>
      <c r="D340" s="2">
        <v>42065.905578703707</v>
      </c>
      <c r="E340" t="s">
        <v>19</v>
      </c>
      <c r="F340">
        <v>33</v>
      </c>
      <c r="G340">
        <v>139.40514999999999</v>
      </c>
      <c r="H340">
        <v>35.577829999999999</v>
      </c>
      <c r="I340" t="s">
        <v>339</v>
      </c>
      <c r="J340" t="s">
        <v>211</v>
      </c>
      <c r="K340" t="s">
        <v>82</v>
      </c>
      <c r="L340">
        <v>0</v>
      </c>
      <c r="M340">
        <v>0</v>
      </c>
      <c r="N340">
        <v>0</v>
      </c>
      <c r="O340" t="s">
        <v>83</v>
      </c>
    </row>
    <row r="341" spans="3:15">
      <c r="C341" s="25">
        <v>42065.905624999999</v>
      </c>
      <c r="D341" s="2">
        <v>42065.905624999999</v>
      </c>
      <c r="E341" t="s">
        <v>98</v>
      </c>
      <c r="F341">
        <v>0</v>
      </c>
      <c r="G341">
        <v>0</v>
      </c>
      <c r="H341">
        <v>0</v>
      </c>
      <c r="J341" t="s">
        <v>182</v>
      </c>
      <c r="K341">
        <v>0</v>
      </c>
      <c r="L341">
        <v>0</v>
      </c>
      <c r="M341">
        <v>0</v>
      </c>
      <c r="N341">
        <v>0</v>
      </c>
      <c r="O341" t="s">
        <v>83</v>
      </c>
    </row>
    <row r="342" spans="3:15">
      <c r="J342" t="s">
        <v>206</v>
      </c>
      <c r="K342">
        <v>0</v>
      </c>
      <c r="L342">
        <v>0</v>
      </c>
      <c r="M342">
        <v>0</v>
      </c>
      <c r="N342">
        <v>0</v>
      </c>
      <c r="O342" t="s">
        <v>83</v>
      </c>
    </row>
    <row r="343" spans="3:15">
      <c r="J343" t="s">
        <v>340</v>
      </c>
      <c r="K343">
        <v>0</v>
      </c>
      <c r="L343">
        <v>0</v>
      </c>
      <c r="M343">
        <v>0</v>
      </c>
      <c r="N343">
        <v>0</v>
      </c>
      <c r="O343" t="s">
        <v>83</v>
      </c>
    </row>
    <row r="344" spans="3:15">
      <c r="C344" s="25">
        <v>42065.905636574076</v>
      </c>
      <c r="D344" s="2">
        <v>42065.905636574076</v>
      </c>
      <c r="E344" t="s">
        <v>59</v>
      </c>
      <c r="F344">
        <v>0</v>
      </c>
      <c r="G344">
        <v>0</v>
      </c>
      <c r="H344">
        <v>0</v>
      </c>
      <c r="K344">
        <v>0</v>
      </c>
      <c r="L344" t="s">
        <v>344</v>
      </c>
      <c r="N344">
        <v>0</v>
      </c>
      <c r="O344" t="s">
        <v>387</v>
      </c>
    </row>
    <row r="345" spans="3:15">
      <c r="E345" t="s">
        <v>98</v>
      </c>
      <c r="F345">
        <v>0</v>
      </c>
      <c r="G345">
        <v>0</v>
      </c>
      <c r="H345">
        <v>0</v>
      </c>
      <c r="J345" t="s">
        <v>206</v>
      </c>
      <c r="K345">
        <v>0</v>
      </c>
      <c r="L345">
        <v>0</v>
      </c>
      <c r="M345">
        <v>0</v>
      </c>
      <c r="N345">
        <v>0</v>
      </c>
      <c r="O345" t="s">
        <v>83</v>
      </c>
    </row>
    <row r="346" spans="3:15">
      <c r="C346" s="25">
        <v>42065.905659722222</v>
      </c>
      <c r="D346" s="2">
        <v>42065.905659722222</v>
      </c>
      <c r="E346" t="s">
        <v>98</v>
      </c>
      <c r="F346">
        <v>0</v>
      </c>
      <c r="G346">
        <v>0</v>
      </c>
      <c r="H346">
        <v>0</v>
      </c>
      <c r="J346" t="s">
        <v>206</v>
      </c>
      <c r="K346">
        <v>0</v>
      </c>
      <c r="L346">
        <v>0</v>
      </c>
      <c r="M346">
        <v>0</v>
      </c>
      <c r="N346">
        <v>0</v>
      </c>
      <c r="O346" t="s">
        <v>83</v>
      </c>
    </row>
    <row r="347" spans="3:15">
      <c r="C347" s="25">
        <v>42065.905682870369</v>
      </c>
      <c r="D347" s="2">
        <v>42065.905682870369</v>
      </c>
      <c r="E347" t="s">
        <v>98</v>
      </c>
      <c r="F347">
        <v>0</v>
      </c>
      <c r="G347">
        <v>0</v>
      </c>
      <c r="H347">
        <v>0</v>
      </c>
      <c r="J347" t="s">
        <v>206</v>
      </c>
      <c r="K347">
        <v>0</v>
      </c>
      <c r="L347">
        <v>0</v>
      </c>
      <c r="M347">
        <v>0</v>
      </c>
      <c r="N347">
        <v>0</v>
      </c>
      <c r="O347" t="s">
        <v>83</v>
      </c>
    </row>
    <row r="348" spans="3:15">
      <c r="C348" s="25">
        <v>42065.905706018515</v>
      </c>
      <c r="D348" s="2">
        <v>42065.905706018515</v>
      </c>
      <c r="E348" t="s">
        <v>19</v>
      </c>
      <c r="F348">
        <v>0</v>
      </c>
      <c r="G348">
        <v>139.40468000000001</v>
      </c>
      <c r="H348">
        <v>35.57752</v>
      </c>
      <c r="I348" t="s">
        <v>345</v>
      </c>
      <c r="J348" t="s">
        <v>195</v>
      </c>
      <c r="K348" t="s">
        <v>82</v>
      </c>
      <c r="L348">
        <v>0</v>
      </c>
      <c r="M348">
        <v>0</v>
      </c>
      <c r="N348">
        <v>0</v>
      </c>
      <c r="O348" t="s">
        <v>83</v>
      </c>
    </row>
    <row r="349" spans="3:15">
      <c r="C349" s="25">
        <v>42065.905740740738</v>
      </c>
      <c r="D349" s="2">
        <v>42065.905740740738</v>
      </c>
      <c r="E349" t="s">
        <v>59</v>
      </c>
      <c r="F349">
        <v>0</v>
      </c>
      <c r="G349">
        <v>0</v>
      </c>
      <c r="H349">
        <v>0</v>
      </c>
      <c r="K349">
        <v>0</v>
      </c>
      <c r="L349" t="s">
        <v>165</v>
      </c>
      <c r="N349">
        <v>0</v>
      </c>
      <c r="O349" t="s">
        <v>446</v>
      </c>
    </row>
    <row r="350" spans="3:15">
      <c r="E350" t="s">
        <v>19</v>
      </c>
      <c r="F350">
        <v>2</v>
      </c>
      <c r="G350">
        <v>139.40468000000001</v>
      </c>
      <c r="H350">
        <v>35.57752</v>
      </c>
      <c r="I350" t="s">
        <v>345</v>
      </c>
      <c r="J350" t="s">
        <v>195</v>
      </c>
      <c r="K350" t="s">
        <v>82</v>
      </c>
      <c r="L350">
        <v>0</v>
      </c>
      <c r="M350">
        <v>0</v>
      </c>
      <c r="N350">
        <v>0</v>
      </c>
      <c r="O350" t="s">
        <v>83</v>
      </c>
    </row>
    <row r="351" spans="3:15">
      <c r="C351" s="25">
        <v>42065.905775462961</v>
      </c>
      <c r="D351" s="2">
        <v>42065.905775462961</v>
      </c>
      <c r="E351" t="s">
        <v>59</v>
      </c>
      <c r="F351">
        <v>0</v>
      </c>
      <c r="G351">
        <v>0</v>
      </c>
      <c r="H351">
        <v>0</v>
      </c>
      <c r="K351">
        <v>0</v>
      </c>
      <c r="L351" t="s">
        <v>165</v>
      </c>
      <c r="N351">
        <v>0</v>
      </c>
      <c r="O351" t="s">
        <v>447</v>
      </c>
    </row>
    <row r="352" spans="3:15">
      <c r="C352" s="25">
        <v>42065.905810185184</v>
      </c>
      <c r="D352" s="2">
        <v>42065.905810185184</v>
      </c>
      <c r="E352" t="s">
        <v>59</v>
      </c>
      <c r="F352">
        <v>0</v>
      </c>
      <c r="G352">
        <v>0</v>
      </c>
      <c r="H352">
        <v>0</v>
      </c>
      <c r="K352">
        <v>0</v>
      </c>
      <c r="L352" t="s">
        <v>165</v>
      </c>
      <c r="N352">
        <v>0</v>
      </c>
      <c r="O352" t="s">
        <v>448</v>
      </c>
    </row>
    <row r="353" spans="3:15">
      <c r="C353" s="25">
        <v>42065.905902777777</v>
      </c>
      <c r="D353" s="2">
        <v>42065.905902777777</v>
      </c>
      <c r="E353" t="s">
        <v>19</v>
      </c>
      <c r="F353">
        <v>41</v>
      </c>
      <c r="G353">
        <v>139.40385000000001</v>
      </c>
      <c r="H353">
        <v>35.577010000000001</v>
      </c>
      <c r="I353" t="s">
        <v>346</v>
      </c>
      <c r="J353" t="s">
        <v>211</v>
      </c>
      <c r="K353" t="s">
        <v>82</v>
      </c>
      <c r="L353">
        <v>0</v>
      </c>
      <c r="M353">
        <v>0</v>
      </c>
      <c r="N353">
        <v>0</v>
      </c>
      <c r="O353" t="s">
        <v>83</v>
      </c>
    </row>
    <row r="354" spans="3:15">
      <c r="C354" s="25">
        <v>42065.905972222223</v>
      </c>
      <c r="D354" s="2">
        <v>42065.905972222223</v>
      </c>
      <c r="E354" t="s">
        <v>19</v>
      </c>
      <c r="F354">
        <v>37</v>
      </c>
      <c r="G354">
        <v>139.40325999999999</v>
      </c>
      <c r="H354">
        <v>35.576630000000002</v>
      </c>
      <c r="I354" t="s">
        <v>347</v>
      </c>
      <c r="J354" t="s">
        <v>224</v>
      </c>
      <c r="K354" t="s">
        <v>82</v>
      </c>
      <c r="L354">
        <v>0</v>
      </c>
      <c r="M354">
        <v>0</v>
      </c>
      <c r="N354">
        <v>0</v>
      </c>
      <c r="O354" t="s">
        <v>83</v>
      </c>
    </row>
    <row r="355" spans="3:15">
      <c r="C355" s="25">
        <v>42065.905995370369</v>
      </c>
      <c r="D355" s="2">
        <v>42065.905995370369</v>
      </c>
      <c r="E355" t="s">
        <v>59</v>
      </c>
      <c r="F355">
        <v>0</v>
      </c>
      <c r="G355">
        <v>0</v>
      </c>
      <c r="H355">
        <v>0</v>
      </c>
      <c r="K355">
        <v>0</v>
      </c>
      <c r="L355" t="s">
        <v>203</v>
      </c>
      <c r="N355">
        <v>0</v>
      </c>
      <c r="O355" t="s">
        <v>449</v>
      </c>
    </row>
    <row r="356" spans="3:15">
      <c r="C356" s="25">
        <v>42065.906215277777</v>
      </c>
      <c r="D356" s="2">
        <v>42065.906215277777</v>
      </c>
      <c r="E356" t="s">
        <v>59</v>
      </c>
      <c r="F356">
        <v>0</v>
      </c>
      <c r="G356">
        <v>0</v>
      </c>
      <c r="H356">
        <v>0</v>
      </c>
      <c r="K356">
        <v>0</v>
      </c>
      <c r="L356" t="s">
        <v>165</v>
      </c>
      <c r="N356">
        <v>0</v>
      </c>
      <c r="O356" t="s">
        <v>450</v>
      </c>
    </row>
    <row r="357" spans="3:15">
      <c r="C357" s="25">
        <v>42065.906238425923</v>
      </c>
      <c r="D357" s="2">
        <v>42065.906238425923</v>
      </c>
      <c r="E357" t="s">
        <v>59</v>
      </c>
      <c r="F357">
        <v>0</v>
      </c>
      <c r="G357">
        <v>0</v>
      </c>
      <c r="H357">
        <v>0</v>
      </c>
      <c r="K357">
        <v>0</v>
      </c>
      <c r="L357" t="s">
        <v>165</v>
      </c>
      <c r="N357">
        <v>0</v>
      </c>
      <c r="O357" t="s">
        <v>451</v>
      </c>
    </row>
    <row r="358" spans="3:15">
      <c r="C358" s="25">
        <v>42065.906273148146</v>
      </c>
      <c r="D358" s="2">
        <v>42065.906273148146</v>
      </c>
      <c r="E358" t="s">
        <v>59</v>
      </c>
      <c r="F358">
        <v>0</v>
      </c>
      <c r="G358">
        <v>0</v>
      </c>
      <c r="H358">
        <v>0</v>
      </c>
      <c r="K358">
        <v>0</v>
      </c>
      <c r="L358" t="s">
        <v>165</v>
      </c>
      <c r="N358">
        <v>0</v>
      </c>
      <c r="O358" t="s">
        <v>452</v>
      </c>
    </row>
    <row r="359" spans="3:15">
      <c r="C359" s="25">
        <v>42065.906493055554</v>
      </c>
      <c r="D359" s="2">
        <v>42065.906493055554</v>
      </c>
      <c r="E359" t="s">
        <v>59</v>
      </c>
      <c r="F359">
        <v>0</v>
      </c>
      <c r="G359">
        <v>0</v>
      </c>
      <c r="H359">
        <v>0</v>
      </c>
      <c r="K359">
        <v>0</v>
      </c>
      <c r="L359" t="s">
        <v>217</v>
      </c>
      <c r="N359">
        <v>0</v>
      </c>
      <c r="O359" t="s">
        <v>453</v>
      </c>
    </row>
    <row r="360" spans="3:15">
      <c r="C360" s="25">
        <v>42065.906585648147</v>
      </c>
      <c r="D360" s="2">
        <v>42065.906585648147</v>
      </c>
      <c r="E360" t="s">
        <v>59</v>
      </c>
      <c r="F360">
        <v>0</v>
      </c>
      <c r="G360">
        <v>0</v>
      </c>
      <c r="H360">
        <v>0</v>
      </c>
      <c r="K360">
        <v>0</v>
      </c>
      <c r="L360" t="s">
        <v>310</v>
      </c>
      <c r="N360">
        <v>0</v>
      </c>
      <c r="O360" t="s">
        <v>454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Data</vt:lpstr>
      <vt:lpstr>Report</vt:lpstr>
      <vt:lpstr>Summary</vt:lpstr>
      <vt:lpstr>AllData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Thomas</dc:creator>
  <cp:lastModifiedBy>SYSTEM</cp:lastModifiedBy>
  <dcterms:created xsi:type="dcterms:W3CDTF">2009-06-04T18:28:03Z</dcterms:created>
  <dcterms:modified xsi:type="dcterms:W3CDTF">2015-03-02T14:06:12Z</dcterms:modified>
</cp:coreProperties>
</file>